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C7416F4-1AEE-492C-9CB3-8E73E695C9C5}" xr6:coauthVersionLast="47" xr6:coauthVersionMax="47" xr10:uidLastSave="{00000000-0000-0000-0000-000000000000}"/>
  <bookViews>
    <workbookView xWindow="-120" yWindow="-120" windowWidth="24240" windowHeight="13140" activeTab="3" xr2:uid="{00000000-000D-0000-FFFF-FFFF00000000}"/>
  </bookViews>
  <sheets>
    <sheet name="ورقة1" sheetId="2" r:id="rId1"/>
    <sheet name="ورقة2" sheetId="3" r:id="rId2"/>
    <sheet name="ورقة3" sheetId="4" r:id="rId3"/>
    <sheet name="Sheet1" sheetId="1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3" l="1"/>
  <c r="H2" i="3"/>
  <c r="E5" i="3" l="1" a="1"/>
  <c r="E5" i="3" s="1"/>
  <c r="I26" i="3"/>
  <c r="G28" i="3"/>
  <c r="I29" i="3"/>
  <c r="G31" i="3"/>
  <c r="I30" i="3"/>
  <c r="I27" i="3"/>
  <c r="G29" i="3"/>
  <c r="F22" i="3"/>
  <c r="G32" i="3"/>
  <c r="I31" i="3"/>
  <c r="G33" i="3"/>
  <c r="F24" i="3"/>
  <c r="I25" i="3"/>
  <c r="I28" i="3"/>
  <c r="G30" i="3"/>
  <c r="F23" i="3"/>
  <c r="H22" i="3"/>
  <c r="I32" i="3"/>
  <c r="H23" i="3"/>
  <c r="G34" i="3"/>
  <c r="F25" i="3"/>
  <c r="I33" i="3"/>
  <c r="H24" i="3"/>
  <c r="F26" i="3"/>
  <c r="H27" i="3"/>
  <c r="H28" i="3"/>
  <c r="F30" i="3"/>
  <c r="H29" i="3"/>
  <c r="H30" i="3"/>
  <c r="H31" i="3"/>
  <c r="G23" i="3"/>
  <c r="I22" i="3"/>
  <c r="H33" i="3"/>
  <c r="G25" i="3"/>
  <c r="G26" i="3"/>
  <c r="I34" i="3"/>
  <c r="H25" i="3"/>
  <c r="F27" i="3"/>
  <c r="H26" i="3"/>
  <c r="F28" i="3"/>
  <c r="F29" i="3"/>
  <c r="F31" i="3"/>
  <c r="F32" i="3"/>
  <c r="G22" i="3"/>
  <c r="F33" i="3"/>
  <c r="H32" i="3"/>
  <c r="F34" i="3"/>
  <c r="G24" i="3"/>
  <c r="I23" i="3"/>
  <c r="H34" i="3"/>
  <c r="I24" i="3"/>
  <c r="G27" i="3"/>
  <c r="I17" i="3" l="1"/>
  <c r="G18" i="3"/>
  <c r="F21" i="3"/>
  <c r="H18" i="3"/>
  <c r="F17" i="3"/>
  <c r="I19" i="3"/>
  <c r="G20" i="3"/>
  <c r="F20" i="3"/>
  <c r="G17" i="3"/>
  <c r="F18" i="3"/>
  <c r="I20" i="3"/>
  <c r="I18" i="3"/>
  <c r="H21" i="3"/>
  <c r="G19" i="3"/>
  <c r="F19" i="3"/>
  <c r="I21" i="3"/>
  <c r="H20" i="3"/>
  <c r="H17" i="3"/>
  <c r="G21" i="3"/>
  <c r="H19" i="3"/>
  <c r="I13" i="3"/>
  <c r="H12" i="3"/>
  <c r="G15" i="3"/>
  <c r="F16" i="3"/>
  <c r="I14" i="3"/>
  <c r="G13" i="3"/>
  <c r="F14" i="3"/>
  <c r="F12" i="3"/>
  <c r="H14" i="3"/>
  <c r="H15" i="3"/>
  <c r="I16" i="3"/>
  <c r="G14" i="3"/>
  <c r="F13" i="3"/>
  <c r="I12" i="3"/>
  <c r="H16" i="3"/>
  <c r="G12" i="3"/>
  <c r="I15" i="3"/>
  <c r="F15" i="3"/>
  <c r="G16" i="3"/>
  <c r="H13" i="3"/>
  <c r="H11" i="3"/>
  <c r="G11" i="3"/>
  <c r="I11" i="3"/>
  <c r="F11" i="3"/>
  <c r="I9" i="3"/>
  <c r="G9" i="3"/>
  <c r="H9" i="3"/>
  <c r="I10" i="3"/>
  <c r="F9" i="3"/>
  <c r="G10" i="3"/>
  <c r="H10" i="3"/>
  <c r="F10" i="3"/>
  <c r="J30" i="3"/>
  <c r="J32" i="3"/>
  <c r="J31" i="3"/>
  <c r="J23" i="3"/>
  <c r="I7" i="3"/>
  <c r="I8" i="3"/>
  <c r="H7" i="3"/>
  <c r="F7" i="3"/>
  <c r="G7" i="3"/>
  <c r="F8" i="3"/>
  <c r="F6" i="3"/>
  <c r="H8" i="3"/>
  <c r="G8" i="3"/>
  <c r="H6" i="3"/>
  <c r="G6" i="3"/>
  <c r="I6" i="3"/>
  <c r="J26" i="3"/>
  <c r="J25" i="3"/>
  <c r="J28" i="3"/>
  <c r="J34" i="3"/>
  <c r="J24" i="3"/>
  <c r="J29" i="3"/>
  <c r="J33" i="3"/>
  <c r="J27" i="3"/>
  <c r="J22" i="3"/>
  <c r="I5" i="3"/>
  <c r="H5" i="3"/>
  <c r="G5" i="3"/>
  <c r="F5" i="3"/>
  <c r="J18" i="3" l="1"/>
  <c r="J17" i="3"/>
  <c r="J19" i="3"/>
  <c r="J20" i="3"/>
  <c r="J21" i="3"/>
  <c r="J13" i="3"/>
  <c r="J16" i="3"/>
  <c r="J15" i="3"/>
  <c r="J14" i="3"/>
  <c r="J12" i="3"/>
  <c r="F35" i="3"/>
  <c r="G35" i="3"/>
  <c r="H35" i="3"/>
  <c r="I35" i="3"/>
  <c r="J11" i="3"/>
  <c r="J8" i="3"/>
  <c r="J10" i="3"/>
  <c r="J9" i="3"/>
  <c r="J6" i="3"/>
  <c r="J7" i="3"/>
  <c r="J5" i="3"/>
  <c r="J35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<sst xmlns="http://schemas.openxmlformats.org/spreadsheetml/2006/main" count="11342" uniqueCount="2810">
  <si>
    <t>ID Type</t>
  </si>
  <si>
    <t>Candidate NID</t>
  </si>
  <si>
    <t>Candidate Name</t>
  </si>
  <si>
    <t>Investigation</t>
  </si>
  <si>
    <t>Creation Date</t>
  </si>
  <si>
    <t>Priority</t>
  </si>
  <si>
    <t>Encounter Group</t>
  </si>
  <si>
    <t>Disease</t>
  </si>
  <si>
    <t>Classification Group</t>
  </si>
  <si>
    <t>Classification</t>
  </si>
  <si>
    <t>Disposition</t>
  </si>
  <si>
    <t>ReportingOrganizationSource</t>
  </si>
  <si>
    <t>Reporting Organization Directorate</t>
  </si>
  <si>
    <t>Reporting Organization Region</t>
  </si>
  <si>
    <t>Responsible Organization Source</t>
  </si>
  <si>
    <t>Responsible Organization Directorate</t>
  </si>
  <si>
    <t>DATEOFBIRTH</t>
  </si>
  <si>
    <t>Age</t>
  </si>
  <si>
    <t>Gender</t>
  </si>
  <si>
    <t>Nationality</t>
  </si>
  <si>
    <t>PHONENUMBER</t>
  </si>
  <si>
    <t>Outcome</t>
  </si>
  <si>
    <t>Outcome Date</t>
  </si>
  <si>
    <t>Investigation Status</t>
  </si>
  <si>
    <t>DATEOFDEATH</t>
  </si>
  <si>
    <t>Risk Factor</t>
  </si>
  <si>
    <t>Risk Factor Date</t>
  </si>
  <si>
    <t>Sign Symptoms</t>
  </si>
  <si>
    <t>Sign Symptoms Date</t>
  </si>
  <si>
    <t>REQUISITIONCODE</t>
  </si>
  <si>
    <t>REQUISITIONDATE</t>
  </si>
  <si>
    <t>رقم حدود</t>
  </si>
  <si>
    <t>3527630051</t>
  </si>
  <si>
    <t>'-   -</t>
  </si>
  <si>
    <t>INV025178524</t>
  </si>
  <si>
    <t>N/A</t>
  </si>
  <si>
    <t>مجموعة عمل الأمراض المعدية الآخرى</t>
  </si>
  <si>
    <t>*الملاريا</t>
  </si>
  <si>
    <t>حالة</t>
  </si>
  <si>
    <t>ليست حالة</t>
  </si>
  <si>
    <t>حالة منتهية لا تتطلب اجراء اضافي</t>
  </si>
  <si>
    <t>مركز الفحص الشامل</t>
  </si>
  <si>
    <t>المديرية العامة للشؤون الصحية في المدينة المنورة</t>
  </si>
  <si>
    <t>المدينة المنورة</t>
  </si>
  <si>
    <t>1997-12-05</t>
  </si>
  <si>
    <t>27</t>
  </si>
  <si>
    <t>انثى</t>
  </si>
  <si>
    <t>أوغندا</t>
  </si>
  <si>
    <t>552180530</t>
  </si>
  <si>
    <t>مفتوح</t>
  </si>
  <si>
    <t>أخرى</t>
  </si>
  <si>
    <t>p08544710</t>
  </si>
  <si>
    <t>محمد الجيلي  محمد</t>
  </si>
  <si>
    <t>INV025178360</t>
  </si>
  <si>
    <t>عالي</t>
  </si>
  <si>
    <t>مؤكدة</t>
  </si>
  <si>
    <t>مستشفى الميقات العام</t>
  </si>
  <si>
    <t>مركز صحي القبلتين بني سلمه</t>
  </si>
  <si>
    <t>1991-02-12</t>
  </si>
  <si>
    <t>33</t>
  </si>
  <si>
    <t>ذكر</t>
  </si>
  <si>
    <t>السودان</t>
  </si>
  <si>
    <t>506897225</t>
  </si>
  <si>
    <t>02-050-0324817</t>
  </si>
  <si>
    <t>Jan 12 2025 11:44AM</t>
  </si>
  <si>
    <t>مقيم</t>
  </si>
  <si>
    <t>2555789219</t>
  </si>
  <si>
    <t>موسي سليمان الامام محمد</t>
  </si>
  <si>
    <t>INV025177670</t>
  </si>
  <si>
    <t>تنويم</t>
  </si>
  <si>
    <t>مستشفى السلام</t>
  </si>
  <si>
    <t>1965-09-10</t>
  </si>
  <si>
    <t>59</t>
  </si>
  <si>
    <t>500271432</t>
  </si>
  <si>
    <t>02-050-0325008</t>
  </si>
  <si>
    <t>Jan 12 2025  2:05PM</t>
  </si>
  <si>
    <t>6126876624</t>
  </si>
  <si>
    <t>KEDICHA SHEMSU  KEDIRO</t>
  </si>
  <si>
    <t>INV025169980</t>
  </si>
  <si>
    <t>1998-04-22</t>
  </si>
  <si>
    <t>26</t>
  </si>
  <si>
    <t>اثيوبيا</t>
  </si>
  <si>
    <t>541671688</t>
  </si>
  <si>
    <t>02-050-0324881</t>
  </si>
  <si>
    <t>Jan 12 2025 12:37PM</t>
  </si>
  <si>
    <t>3532589946</t>
  </si>
  <si>
    <t>INV025169972</t>
  </si>
  <si>
    <t>مركز الدعيثة للرعاية الصحية الاولية</t>
  </si>
  <si>
    <t>1999-02-15</t>
  </si>
  <si>
    <t>25</t>
  </si>
  <si>
    <t>583434006</t>
  </si>
  <si>
    <t>02-050-0324873</t>
  </si>
  <si>
    <t>Jan 12 2025 12:30PM</t>
  </si>
  <si>
    <t>2462357696</t>
  </si>
  <si>
    <t>خدا بخش سودهو ب تشاندو</t>
  </si>
  <si>
    <t>INV025169958</t>
  </si>
  <si>
    <t>مركز صحي الجديدة</t>
  </si>
  <si>
    <t>1995-01-01</t>
  </si>
  <si>
    <t>30</t>
  </si>
  <si>
    <t>592578614</t>
  </si>
  <si>
    <t>02-050-0324870</t>
  </si>
  <si>
    <t>Jan 12 2025 12:27PM</t>
  </si>
  <si>
    <t>خبيثة</t>
  </si>
  <si>
    <t>حميدة</t>
  </si>
  <si>
    <t>مغلق</t>
  </si>
  <si>
    <t>مواطن</t>
  </si>
  <si>
    <t>1090485374</t>
  </si>
  <si>
    <t>فواز احمد رجاء الرشيدي</t>
  </si>
  <si>
    <t>INV025179370</t>
  </si>
  <si>
    <t>مستشفى خيبر العام</t>
  </si>
  <si>
    <t>1996-04-30</t>
  </si>
  <si>
    <t>28</t>
  </si>
  <si>
    <t>السعودية</t>
  </si>
  <si>
    <t>537867703</t>
  </si>
  <si>
    <t>02-050-0325821</t>
  </si>
  <si>
    <t>Jan 13 2025 11:37AM</t>
  </si>
  <si>
    <t>TAE043142</t>
  </si>
  <si>
    <t>NIHAD ALLI MBARK HEND</t>
  </si>
  <si>
    <t>INV025180230</t>
  </si>
  <si>
    <t>مستشفى المدينة المنورة العام</t>
  </si>
  <si>
    <t>وحدة الأمراض المعدية</t>
  </si>
  <si>
    <t>1995-05-23</t>
  </si>
  <si>
    <t>29</t>
  </si>
  <si>
    <t>جمهورية تنزانيا المتحدة</t>
  </si>
  <si>
    <t>547311296</t>
  </si>
  <si>
    <t>Recovered</t>
  </si>
  <si>
    <t>Jan 16 2025 12:00AM</t>
  </si>
  <si>
    <t> intermittent Fever</t>
  </si>
  <si>
    <t>Jan 10 2025 12:00AM</t>
  </si>
  <si>
    <t>02-050-0327205</t>
  </si>
  <si>
    <t>Jan 14 2025  7:15PM</t>
  </si>
  <si>
    <t>1129867790</t>
  </si>
  <si>
    <t>عبدالله راشد علي المرواني</t>
  </si>
  <si>
    <t>INV025180214</t>
  </si>
  <si>
    <t>2003-06-16</t>
  </si>
  <si>
    <t>21</t>
  </si>
  <si>
    <t>502718816</t>
  </si>
  <si>
    <t>02-050-0328893</t>
  </si>
  <si>
    <t>Jan 16 2025  2:32PM</t>
  </si>
  <si>
    <t>2586541175</t>
  </si>
  <si>
    <t>عبد الجليل   خان</t>
  </si>
  <si>
    <t>INV025182700</t>
  </si>
  <si>
    <t>مركز صحي الأكحل</t>
  </si>
  <si>
    <t>1990-01-01</t>
  </si>
  <si>
    <t>35</t>
  </si>
  <si>
    <t>باكستان</t>
  </si>
  <si>
    <t>597447364</t>
  </si>
  <si>
    <t>حمى ,Fatigue</t>
  </si>
  <si>
    <t>Jan 10 2025 12:00AM,Jan 12 2025 12:00AM</t>
  </si>
  <si>
    <t>02-050-0328922</t>
  </si>
  <si>
    <t>Jan 16 2025  3:00PM</t>
  </si>
  <si>
    <t>وافدة من الداخل</t>
  </si>
  <si>
    <t>تسميات الصفوف</t>
  </si>
  <si>
    <t>الإجمالي الكلي</t>
  </si>
  <si>
    <t>تسميات الأعمدة</t>
  </si>
  <si>
    <t>2539698866</t>
  </si>
  <si>
    <t>لوسي أكيني  ادوي</t>
  </si>
  <si>
    <t>INV025185398</t>
  </si>
  <si>
    <t>مركز صحي العزيزية</t>
  </si>
  <si>
    <t>1999-03-10</t>
  </si>
  <si>
    <t>كينيا</t>
  </si>
  <si>
    <t>534334353</t>
  </si>
  <si>
    <t>EP6254931</t>
  </si>
  <si>
    <t>BURTUKAN KEMAL  KIMO</t>
  </si>
  <si>
    <t>INV025187366</t>
  </si>
  <si>
    <t>مركز الخالدية للرعاية الصحية الأولية</t>
  </si>
  <si>
    <t>1986-11-14</t>
  </si>
  <si>
    <t>38</t>
  </si>
  <si>
    <t>566380313</t>
  </si>
  <si>
    <t>Jan 26 2025 12:00AM</t>
  </si>
  <si>
    <t>Jan 20 2025 12:00AM</t>
  </si>
  <si>
    <t>02-050-0334158</t>
  </si>
  <si>
    <t>Jan 23 2025 12:23PM</t>
  </si>
  <si>
    <t>1121731952</t>
  </si>
  <si>
    <t>صفوان فايز محمد الجهني</t>
  </si>
  <si>
    <t>INV025188256</t>
  </si>
  <si>
    <t>معلَق</t>
  </si>
  <si>
    <t>مستشفى الملك فهد بالمدينة المنورة</t>
  </si>
  <si>
    <t>2003-08-26</t>
  </si>
  <si>
    <t>546758086</t>
  </si>
  <si>
    <t>Vomiting,صداع ,Diarrhea, intermittent Fever</t>
  </si>
  <si>
    <t>Jan 23 2025 12:00AM,Jan 23 2025 12:00AM,Jan 23 2025 12:00AM,Jan 23 2025 12:00AM</t>
  </si>
  <si>
    <t>2593130210</t>
  </si>
  <si>
    <t>دبريتو   اورلوري</t>
  </si>
  <si>
    <t>INV025190340</t>
  </si>
  <si>
    <t>مركز صحي الهجرة للرعاية الصحية الأولية</t>
  </si>
  <si>
    <t>2003-06-17</t>
  </si>
  <si>
    <t>569538481</t>
  </si>
  <si>
    <t>02-050-0335757</t>
  </si>
  <si>
    <t>Jan 26 2025 12:37PM</t>
  </si>
  <si>
    <t xml:space="preserve">ساديا علي السيد </t>
  </si>
  <si>
    <t>1087134282</t>
  </si>
  <si>
    <t>عبدالله سعود نفاع الرشيدي</t>
  </si>
  <si>
    <t>INV025200036</t>
  </si>
  <si>
    <t>متوسط</t>
  </si>
  <si>
    <t>مركز العاقول للرعاية الصحية الاولية</t>
  </si>
  <si>
    <t>1993-12-20</t>
  </si>
  <si>
    <t>31</t>
  </si>
  <si>
    <t>501063476</t>
  </si>
  <si>
    <t>02-050-0344941</t>
  </si>
  <si>
    <t>Feb  6 2025  9:30AM</t>
  </si>
  <si>
    <t>2586389633</t>
  </si>
  <si>
    <t>باركيسا   هبقرو</t>
  </si>
  <si>
    <t>INV025199955</t>
  </si>
  <si>
    <t>مركز صحي ابو مرخة</t>
  </si>
  <si>
    <t>1991-09-12</t>
  </si>
  <si>
    <t>562854051</t>
  </si>
  <si>
    <t>02-050-0344846</t>
  </si>
  <si>
    <t>Feb  6 2025  8:48AM</t>
  </si>
  <si>
    <t>2450483686</t>
  </si>
  <si>
    <t>خالد علي احمد الحربي</t>
  </si>
  <si>
    <t>INV025199925</t>
  </si>
  <si>
    <t>مركز قباء</t>
  </si>
  <si>
    <t>1974-02-01</t>
  </si>
  <si>
    <t>51</t>
  </si>
  <si>
    <t>اليمن</t>
  </si>
  <si>
    <t>536998527</t>
  </si>
  <si>
    <t>02-050-0344828</t>
  </si>
  <si>
    <t>Feb  6 2025  8:32AM</t>
  </si>
  <si>
    <t>1129198162</t>
  </si>
  <si>
    <t>عبدالله ناصر بن علي الحربي</t>
  </si>
  <si>
    <t>INV025200168</t>
  </si>
  <si>
    <t>مستشفى وادي الفرع</t>
  </si>
  <si>
    <t>مركز الرعاية الصحية الاولية بام العيال</t>
  </si>
  <si>
    <t>2005-04-26</t>
  </si>
  <si>
    <t>19</t>
  </si>
  <si>
    <t>530320219</t>
  </si>
  <si>
    <t>P09660525</t>
  </si>
  <si>
    <t>علي النور احمد بركات</t>
  </si>
  <si>
    <t>INV025202835</t>
  </si>
  <si>
    <t>مركز  صحي سيد الشهداء</t>
  </si>
  <si>
    <t>1987-01-03</t>
  </si>
  <si>
    <t>571796804</t>
  </si>
  <si>
    <t xml:space="preserve">أسم المستشفى </t>
  </si>
  <si>
    <t>مختلطة</t>
  </si>
  <si>
    <t>اوفالي</t>
  </si>
  <si>
    <t>Number</t>
  </si>
  <si>
    <t>Start</t>
  </si>
  <si>
    <t>End</t>
  </si>
  <si>
    <t>1119736971</t>
  </si>
  <si>
    <t>عوض خلف  الرويثي</t>
  </si>
  <si>
    <t>INV025205493</t>
  </si>
  <si>
    <t>تحت الإجراء</t>
  </si>
  <si>
    <t>مركز وعيرة للرعاية الصحية الاولية</t>
  </si>
  <si>
    <t>2003-03-21</t>
  </si>
  <si>
    <t>552903440</t>
  </si>
  <si>
    <t>02-050-0350133</t>
  </si>
  <si>
    <t>Feb 13 2025 12:36PM</t>
  </si>
  <si>
    <t>9010460079</t>
  </si>
  <si>
    <t>علم جميل  جميل</t>
  </si>
  <si>
    <t>INV025206753</t>
  </si>
  <si>
    <t>2004-12-26</t>
  </si>
  <si>
    <t>20</t>
  </si>
  <si>
    <t>555555555</t>
  </si>
  <si>
    <t>EQ1233060</t>
  </si>
  <si>
    <t>NEJASH LENCHA  HUSSAIN</t>
  </si>
  <si>
    <t>INV025206695</t>
  </si>
  <si>
    <t>مركز صحي باقدو الدويخلة للرعاية الصحية الأولية</t>
  </si>
  <si>
    <t>2001-08-30</t>
  </si>
  <si>
    <t>23</t>
  </si>
  <si>
    <t>505609842</t>
  </si>
  <si>
    <t>1053650709</t>
  </si>
  <si>
    <t>نافع حمدان قاسم الحربي</t>
  </si>
  <si>
    <t>INV025206682</t>
  </si>
  <si>
    <t>مستشفى بدر العام</t>
  </si>
  <si>
    <t>مركز صحي القاحة</t>
  </si>
  <si>
    <t>1988-03-23</t>
  </si>
  <si>
    <t>36</t>
  </si>
  <si>
    <t>501806088</t>
  </si>
  <si>
    <t>02-050-0351439</t>
  </si>
  <si>
    <t>Feb 16 2025 12:37PM</t>
  </si>
  <si>
    <t>Malaria Classification</t>
  </si>
  <si>
    <t>الإجمالي</t>
  </si>
  <si>
    <t>الأسبوع الدولي رقم</t>
  </si>
  <si>
    <t>من</t>
  </si>
  <si>
    <t>إلى</t>
  </si>
  <si>
    <t>يناير</t>
  </si>
  <si>
    <t>فبراير</t>
  </si>
  <si>
    <t>مارس</t>
  </si>
  <si>
    <t>أبريل</t>
  </si>
  <si>
    <t>مايو</t>
  </si>
  <si>
    <t>يونيو</t>
  </si>
  <si>
    <t>يوليو</t>
  </si>
  <si>
    <t>أغسطس</t>
  </si>
  <si>
    <t>سبتمبر</t>
  </si>
  <si>
    <t>أكتوبر</t>
  </si>
  <si>
    <t>نوفمبر</t>
  </si>
  <si>
    <t>ديسمبر</t>
  </si>
  <si>
    <t>6136034706</t>
  </si>
  <si>
    <t>MUZAKIRA   ULLAH</t>
  </si>
  <si>
    <t>INV025207926</t>
  </si>
  <si>
    <t>1087903744</t>
  </si>
  <si>
    <t>محمد فالح ابن محمد الحربي</t>
  </si>
  <si>
    <t>INV025208710</t>
  </si>
  <si>
    <t>02-050-0345100,02-050-0352398</t>
  </si>
  <si>
    <t>Feb  6 2025 10:55AM,Feb 17 2025 12:33PM</t>
  </si>
  <si>
    <t>02-050-0349247,02-050-0349256</t>
  </si>
  <si>
    <t>Feb 12 2025 11:47AM,Feb 12 2025 11:49AM</t>
  </si>
  <si>
    <t>02-050-0351173,02-050-0352637</t>
  </si>
  <si>
    <t>Feb 16 2025 10:25AM,Feb 17 2025  3:05PM</t>
  </si>
  <si>
    <t>02-050-0351129,02-050-0353196</t>
  </si>
  <si>
    <t>Feb 16 2025 10:10AM,Feb 18 2025 11:43AM</t>
  </si>
  <si>
    <t>عالي جدًا - معتمر من الخارج</t>
  </si>
  <si>
    <t>1955-01-01</t>
  </si>
  <si>
    <t>70</t>
  </si>
  <si>
    <t>582205956</t>
  </si>
  <si>
    <t>02-050-0352320</t>
  </si>
  <si>
    <t>Feb 17 2025 11:55AM</t>
  </si>
  <si>
    <t>نقل داخلي</t>
  </si>
  <si>
    <t>مستشفى الأمير سلطان للقوات المسلحة بالمدينة المنورة</t>
  </si>
  <si>
    <t>1994-09-23</t>
  </si>
  <si>
    <t>566494271</t>
  </si>
  <si>
    <t>02-050-0352990</t>
  </si>
  <si>
    <t>Feb 18 2025  9:15AM</t>
  </si>
  <si>
    <t>1073564112</t>
  </si>
  <si>
    <t>محمد عبدالله بن عتيق الصبحي</t>
  </si>
  <si>
    <t>INV025209776</t>
  </si>
  <si>
    <t>مركز صحي بدر</t>
  </si>
  <si>
    <t>1991-10-02</t>
  </si>
  <si>
    <t>532039009</t>
  </si>
  <si>
    <t>02-050-0354159</t>
  </si>
  <si>
    <t>Feb 19 2025 12:15PM</t>
  </si>
  <si>
    <t>34</t>
  </si>
  <si>
    <t>Jan 23 2025 12:00AM</t>
  </si>
  <si>
    <t>02-050-0336980</t>
  </si>
  <si>
    <t>Jan 27 2025 12:48PM</t>
  </si>
  <si>
    <t>02-050-0337855</t>
  </si>
  <si>
    <t>Jan 28 2025 11:39AM</t>
  </si>
  <si>
    <t>P11238164</t>
  </si>
  <si>
    <t>عبدالغفار خليفة  محمد</t>
  </si>
  <si>
    <t>INV025210758</t>
  </si>
  <si>
    <t>مركز صحي الأزهري</t>
  </si>
  <si>
    <t>1952-01-01</t>
  </si>
  <si>
    <t>73</t>
  </si>
  <si>
    <t>543295227</t>
  </si>
  <si>
    <t>حمى ,Myalgia</t>
  </si>
  <si>
    <t>Feb 20 2025 12:00AM,Feb 20 2025 12:00AM</t>
  </si>
  <si>
    <t>02-050-0355121</t>
  </si>
  <si>
    <t>Feb 20 2025  2:36PM</t>
  </si>
  <si>
    <t>1093845517</t>
  </si>
  <si>
    <t>راكان عباس مهل الرشيدي</t>
  </si>
  <si>
    <t>INV025211132</t>
  </si>
  <si>
    <t>1995-11-24</t>
  </si>
  <si>
    <t>550168043</t>
  </si>
  <si>
    <t>02-050-0355429</t>
  </si>
  <si>
    <t>Feb 21 2025 11:09PM</t>
  </si>
  <si>
    <t>6136092658</t>
  </si>
  <si>
    <t>TOUNKOUCH HAME   SAIDI</t>
  </si>
  <si>
    <t>INV025212633</t>
  </si>
  <si>
    <t>عالي جدًا - معتمر من الداخل</t>
  </si>
  <si>
    <t>1950-01-01</t>
  </si>
  <si>
    <t>75</t>
  </si>
  <si>
    <t>النيجير</t>
  </si>
  <si>
    <t>568684705</t>
  </si>
  <si>
    <t>02-050-0356766</t>
  </si>
  <si>
    <t>Feb 24 2025 12:35PM</t>
  </si>
  <si>
    <t>2437253756</t>
  </si>
  <si>
    <t>زينب محمدنور سعيد عثمان</t>
  </si>
  <si>
    <t>INV025212100</t>
  </si>
  <si>
    <t>1991-11-28</t>
  </si>
  <si>
    <t>515758348</t>
  </si>
  <si>
    <t>02-050-0356252</t>
  </si>
  <si>
    <t>Feb 24 2025  8:36AM</t>
  </si>
  <si>
    <t>1079538771</t>
  </si>
  <si>
    <t>بلال نويفع فيصل الجراري</t>
  </si>
  <si>
    <t>INV025213050</t>
  </si>
  <si>
    <t>1992-11-09</t>
  </si>
  <si>
    <t>32</t>
  </si>
  <si>
    <t>536400480</t>
  </si>
  <si>
    <t>02-050-0357210</t>
  </si>
  <si>
    <t>Feb 25 2025  8:53AM</t>
  </si>
  <si>
    <t>2531611313</t>
  </si>
  <si>
    <t>محمد جمال علي عبدالله عفيف</t>
  </si>
  <si>
    <t>INV025218604</t>
  </si>
  <si>
    <t>2000-02-01</t>
  </si>
  <si>
    <t>542161070</t>
  </si>
  <si>
    <t>Mar 10 2025 12:00AM</t>
  </si>
  <si>
    <t>02-050-0362683</t>
  </si>
  <si>
    <t>Mar  8 2025  1:06AM</t>
  </si>
  <si>
    <t>2527122556</t>
  </si>
  <si>
    <t>عمار جاه النبي النور عبد الله</t>
  </si>
  <si>
    <t>INV025219464</t>
  </si>
  <si>
    <t>مركز الرعاية الصحية الأولية بشرق خميس مشيط</t>
  </si>
  <si>
    <t>المديرية العامة للشؤون الصحية في عسير</t>
  </si>
  <si>
    <t>1994-01-01</t>
  </si>
  <si>
    <t>592614589</t>
  </si>
  <si>
    <t>02-050-0363492,02-050-0363495</t>
  </si>
  <si>
    <t>Mar  9 2025 11:35AM,Mar  9 2025 11:39AM</t>
  </si>
  <si>
    <t>p10471215</t>
  </si>
  <si>
    <t>رابحة علي  الطاهر</t>
  </si>
  <si>
    <t>INV025219315</t>
  </si>
  <si>
    <t>1965-01-01</t>
  </si>
  <si>
    <t>60</t>
  </si>
  <si>
    <t>550401646</t>
  </si>
  <si>
    <t>02-050-0363372</t>
  </si>
  <si>
    <t>Mar  9 2025 11:00AM</t>
  </si>
  <si>
    <t>2440916605</t>
  </si>
  <si>
    <t>ابراهيم الطيب احمد موسي</t>
  </si>
  <si>
    <t>INV025219307</t>
  </si>
  <si>
    <t>مركز شوران للرعاية الصحية الأولية</t>
  </si>
  <si>
    <t>1996-05-18</t>
  </si>
  <si>
    <t>578383845</t>
  </si>
  <si>
    <t>02-050-0363358</t>
  </si>
  <si>
    <t>Mar  9 2025 10:57AM</t>
  </si>
  <si>
    <t>605793747</t>
  </si>
  <si>
    <t>ALI MOHAMMED  ZEEN</t>
  </si>
  <si>
    <t>INV025220441</t>
  </si>
  <si>
    <t>مركز صحي الصافية</t>
  </si>
  <si>
    <t>1976-04-15</t>
  </si>
  <si>
    <t>49</t>
  </si>
  <si>
    <t>تشاد</t>
  </si>
  <si>
    <t>535786598</t>
  </si>
  <si>
    <t>02-050-0364638</t>
  </si>
  <si>
    <t>Mar 10 2025  1:08PM</t>
  </si>
  <si>
    <t>1031658360</t>
  </si>
  <si>
    <t>بندر بن احمد بن حسين العبيدي</t>
  </si>
  <si>
    <t>INV025220402</t>
  </si>
  <si>
    <t>مركز الرعايه الصحيه الأوليه بأبو ضباع</t>
  </si>
  <si>
    <t>1966-10-15</t>
  </si>
  <si>
    <t>58</t>
  </si>
  <si>
    <t>567207915</t>
  </si>
  <si>
    <t>02-050-0364636</t>
  </si>
  <si>
    <t>Mar 10 2025  1:06PM</t>
  </si>
  <si>
    <t>4504942287</t>
  </si>
  <si>
    <t>اميره حسب الرسول احمد محمد زين</t>
  </si>
  <si>
    <t>INV025221930</t>
  </si>
  <si>
    <t>501167838</t>
  </si>
  <si>
    <t>02-050-0366029</t>
  </si>
  <si>
    <t>Mar 12 2025 11:35AM</t>
  </si>
  <si>
    <t>6138577200</t>
  </si>
  <si>
    <t>ABDULLAHI HARUNA   TIJJANI</t>
  </si>
  <si>
    <t>INV025224171</t>
  </si>
  <si>
    <t>بلاغ أولي</t>
  </si>
  <si>
    <t>مركز صحي باب جبريل للرعاية الصحية الأولية</t>
  </si>
  <si>
    <t>1993-01-01</t>
  </si>
  <si>
    <t>غانا</t>
  </si>
  <si>
    <t>548952552</t>
  </si>
  <si>
    <t>Mar 14 2025 12:00AM</t>
  </si>
  <si>
    <t>02-050-0368102,02-050-0371803</t>
  </si>
  <si>
    <t>Mar 16 2025 10:41PM,Mar 23 2025  8:32PM</t>
  </si>
  <si>
    <t>P09513714</t>
  </si>
  <si>
    <t>محمد احمد  ابو بكر محمد</t>
  </si>
  <si>
    <t>INV025223860</t>
  </si>
  <si>
    <t>1995-10-29</t>
  </si>
  <si>
    <t>532989802</t>
  </si>
  <si>
    <t>02-050-0368292</t>
  </si>
  <si>
    <t>Mar 17 2025 10:17AM</t>
  </si>
  <si>
    <t>1065803528</t>
  </si>
  <si>
    <t>حميد حامد بن حميد الحربي</t>
  </si>
  <si>
    <t>INV025225128</t>
  </si>
  <si>
    <t>1987-12-10</t>
  </si>
  <si>
    <t>37</t>
  </si>
  <si>
    <t>530789923</t>
  </si>
  <si>
    <t>02-050-0369714</t>
  </si>
  <si>
    <t>Mar 19 2025  9:13AM</t>
  </si>
  <si>
    <t>2361772219</t>
  </si>
  <si>
    <t>فهد عبدالله مرشد عبدالله المطحني</t>
  </si>
  <si>
    <t>INV025227813</t>
  </si>
  <si>
    <t>مستشفى ينبع العام</t>
  </si>
  <si>
    <t>مركز صحي الشرقية</t>
  </si>
  <si>
    <t>1987-04-04</t>
  </si>
  <si>
    <t>508764471</t>
  </si>
  <si>
    <t>02-050-0371709</t>
  </si>
  <si>
    <t>Mar 23 2025  2:35PM</t>
  </si>
  <si>
    <t>2254002559</t>
  </si>
  <si>
    <t>ابو بكر احمد علي ابراهيم</t>
  </si>
  <si>
    <t>INV025227805</t>
  </si>
  <si>
    <t>مركز صحي السميري</t>
  </si>
  <si>
    <t>1969-01-30</t>
  </si>
  <si>
    <t>56</t>
  </si>
  <si>
    <t>581518039</t>
  </si>
  <si>
    <t>02-050-0371704</t>
  </si>
  <si>
    <t>Mar 23 2025  2:26PM</t>
  </si>
  <si>
    <t>P12914902</t>
  </si>
  <si>
    <t>عائشة النزير محمد ادم</t>
  </si>
  <si>
    <t>INV025229010</t>
  </si>
  <si>
    <t>مستشفى النساء والولادة والاطفال بالمدينة المنورة</t>
  </si>
  <si>
    <t>2017-02-01</t>
  </si>
  <si>
    <t>8</t>
  </si>
  <si>
    <t>599864283</t>
  </si>
  <si>
    <t>02-050-0373377</t>
  </si>
  <si>
    <t>Mar 27 2025  9:00AM</t>
  </si>
  <si>
    <t>1121649683</t>
  </si>
  <si>
    <t>متعب عليان  العوفي</t>
  </si>
  <si>
    <t>INV025231631</t>
  </si>
  <si>
    <t>إحالة خارجية</t>
  </si>
  <si>
    <t>1996-01-31</t>
  </si>
  <si>
    <t>538436480</t>
  </si>
  <si>
    <t>02-050-0374925,02-050-0374992</t>
  </si>
  <si>
    <t>Apr  1 2025  2:47PM,Apr  2 2025  3:49AM</t>
  </si>
  <si>
    <t>P11769905</t>
  </si>
  <si>
    <t>محمد النور  محمد</t>
  </si>
  <si>
    <t>INV025231507</t>
  </si>
  <si>
    <t>مركز صحي العوالي للرعاية الصحية الأولية بالمدينة المنورة</t>
  </si>
  <si>
    <t>1996-11-19</t>
  </si>
  <si>
    <t>537337532</t>
  </si>
  <si>
    <t>02-050-0374991</t>
  </si>
  <si>
    <t>Apr  2 2025  3:47AM</t>
  </si>
  <si>
    <t>p10188493</t>
  </si>
  <si>
    <t>عمرو الصادق  جعفر</t>
  </si>
  <si>
    <t>INV025232089</t>
  </si>
  <si>
    <t>2008-01-11</t>
  </si>
  <si>
    <t>17</t>
  </si>
  <si>
    <t>Mar 25 2025 12:00AM</t>
  </si>
  <si>
    <t>02-050-0375315</t>
  </si>
  <si>
    <t>Apr  2 2025  4:03PM</t>
  </si>
  <si>
    <t>6139106403</t>
  </si>
  <si>
    <t>مواهب العوض ابراهيم  علي</t>
  </si>
  <si>
    <t>INV025232307</t>
  </si>
  <si>
    <t>1980-01-08</t>
  </si>
  <si>
    <t>45</t>
  </si>
  <si>
    <t>561976239</t>
  </si>
  <si>
    <t>02-050-0375451</t>
  </si>
  <si>
    <t>Apr  3 2025  9:24AM</t>
  </si>
  <si>
    <t>NT1341762</t>
  </si>
  <si>
    <t>MOHAMMED HAMZAH AKHTAR AKHTAR</t>
  </si>
  <si>
    <t>INV025233102</t>
  </si>
  <si>
    <t>1997-07-12</t>
  </si>
  <si>
    <t>511254574</t>
  </si>
  <si>
    <t>02-050-0376088</t>
  </si>
  <si>
    <t>Apr  5 2025  5:07PM</t>
  </si>
  <si>
    <t>2597827373</t>
  </si>
  <si>
    <t>سعاده   علي</t>
  </si>
  <si>
    <t>INV025234748</t>
  </si>
  <si>
    <t>544684314</t>
  </si>
  <si>
    <t>02-050-0377464</t>
  </si>
  <si>
    <t>Apr  7 2025  3:02PM</t>
  </si>
  <si>
    <t>6132124327</t>
  </si>
  <si>
    <t>أكما أبدو دوبي دوبي</t>
  </si>
  <si>
    <t>INV025234715</t>
  </si>
  <si>
    <t>شركة مجمع دار السلام الطبي العام</t>
  </si>
  <si>
    <t>1998-09-25</t>
  </si>
  <si>
    <t>599111457</t>
  </si>
  <si>
    <t>02-050-0377434</t>
  </si>
  <si>
    <t>Apr  7 2025  2:33PM</t>
  </si>
  <si>
    <t>2478509850</t>
  </si>
  <si>
    <t>الطيب جار النبي محمد جار النبي</t>
  </si>
  <si>
    <t>INV025234700</t>
  </si>
  <si>
    <t>1982-01-01</t>
  </si>
  <si>
    <t>43</t>
  </si>
  <si>
    <t>502335874</t>
  </si>
  <si>
    <t>02-050-0377438</t>
  </si>
  <si>
    <t>Apr  7 2025  2:37PM</t>
  </si>
  <si>
    <t>4925159248</t>
  </si>
  <si>
    <t>القاسم الحاج ابراهيم محمد</t>
  </si>
  <si>
    <t>INV025234688</t>
  </si>
  <si>
    <t>1953-01-01</t>
  </si>
  <si>
    <t>72</t>
  </si>
  <si>
    <t>576973078</t>
  </si>
  <si>
    <t>02-050-0377442</t>
  </si>
  <si>
    <t>Apr  7 2025  2:39PM</t>
  </si>
  <si>
    <t>1107407494</t>
  </si>
  <si>
    <t>ابراهيم مساعد عقيل الرشيدي</t>
  </si>
  <si>
    <t>INV025235289</t>
  </si>
  <si>
    <t>2000-05-03</t>
  </si>
  <si>
    <t>24</t>
  </si>
  <si>
    <t>534985079</t>
  </si>
  <si>
    <t>02-050-0377978</t>
  </si>
  <si>
    <t>Apr  8 2025 12:30PM</t>
  </si>
  <si>
    <t>6140123828</t>
  </si>
  <si>
    <t>اسامة هزاع  مهدي</t>
  </si>
  <si>
    <t>INV025235267</t>
  </si>
  <si>
    <t>507305469</t>
  </si>
  <si>
    <t>02-050-0377951</t>
  </si>
  <si>
    <t>Apr  8 2025 12:08PM</t>
  </si>
  <si>
    <t>2339350148</t>
  </si>
  <si>
    <t>مصعب عثمان مكاوى احمد</t>
  </si>
  <si>
    <t>INV025236595</t>
  </si>
  <si>
    <t>1985-01-01</t>
  </si>
  <si>
    <t>40</t>
  </si>
  <si>
    <t>556684427</t>
  </si>
  <si>
    <t>02-050-0379287</t>
  </si>
  <si>
    <t>Apr  9 2025  2:21PM</t>
  </si>
  <si>
    <t>P11295753</t>
  </si>
  <si>
    <t>جليلة حامد  بابكر</t>
  </si>
  <si>
    <t>INV025236558</t>
  </si>
  <si>
    <t>مركز الفتح للرعاية الصحية الاولية</t>
  </si>
  <si>
    <t>1972-04-15</t>
  </si>
  <si>
    <t>53</t>
  </si>
  <si>
    <t>506234936</t>
  </si>
  <si>
    <t>02-050-0379256</t>
  </si>
  <si>
    <t>Apr  9 2025  2:00PM</t>
  </si>
  <si>
    <t>1002526398</t>
  </si>
  <si>
    <t>حمدان محمد علي الثميري</t>
  </si>
  <si>
    <t>INV025236043</t>
  </si>
  <si>
    <t>1962-11-28</t>
  </si>
  <si>
    <t>62</t>
  </si>
  <si>
    <t xml:space="preserve">حمى </t>
  </si>
  <si>
    <t>Mar 28 2025 12:00AM</t>
  </si>
  <si>
    <t>02-050-0378722</t>
  </si>
  <si>
    <t>Apr  9 2025  9:36AM</t>
  </si>
  <si>
    <t>EP8222249</t>
  </si>
  <si>
    <t>قادر ماري  موسما</t>
  </si>
  <si>
    <t>INV025237062</t>
  </si>
  <si>
    <t>2000-06-07</t>
  </si>
  <si>
    <t>02-050-0379766</t>
  </si>
  <si>
    <t>Apr 10 2025  9:54AM</t>
  </si>
  <si>
    <t>ep8407180</t>
  </si>
  <si>
    <t>MOHAMMED MOHAMMED  ASSAF</t>
  </si>
  <si>
    <t>INV025237180</t>
  </si>
  <si>
    <t>مركز رعاية صحية أوليه ينبع النخل</t>
  </si>
  <si>
    <t>1996-01-01</t>
  </si>
  <si>
    <t>500022153</t>
  </si>
  <si>
    <t>02-050-0379874</t>
  </si>
  <si>
    <t>Apr 10 2025 10:57AM</t>
  </si>
  <si>
    <t>4514179748</t>
  </si>
  <si>
    <t>كامل عبدالطيف مرسي ابوبكر</t>
  </si>
  <si>
    <t>INV025238819</t>
  </si>
  <si>
    <t>1960-04-17</t>
  </si>
  <si>
    <t>65</t>
  </si>
  <si>
    <t>562188947</t>
  </si>
  <si>
    <t>02-050-0381568</t>
  </si>
  <si>
    <t>Apr 13 2025 11:09AM</t>
  </si>
  <si>
    <t>2518079682</t>
  </si>
  <si>
    <t>الطيب عبدالله الطيب محمداحمد</t>
  </si>
  <si>
    <t>INV025238742</t>
  </si>
  <si>
    <t>مركز الرعاية الصحية الأولية حمراء الأسد</t>
  </si>
  <si>
    <t>533343393</t>
  </si>
  <si>
    <t>02-050-0381451,02-050-0381482</t>
  </si>
  <si>
    <t>Apr 13 2025 10:24AM,Apr 13 2025 10:34AM</t>
  </si>
  <si>
    <t>1123539718</t>
  </si>
  <si>
    <t>عبدالله سعدي بن حياء الرشيدي</t>
  </si>
  <si>
    <t>INV025239047</t>
  </si>
  <si>
    <t>مستشفى الأمير محمد بن عبدالعزيز - المدينة المنورة</t>
  </si>
  <si>
    <t>2004-02-01</t>
  </si>
  <si>
    <t>550308607</t>
  </si>
  <si>
    <t>02-050-0381837,02-050-0381920,02-050-0382012</t>
  </si>
  <si>
    <t>Apr 13 2025  1:17PM,Apr 13 2025  2:16PM,Apr 13 2025  3:21PM</t>
  </si>
  <si>
    <t>2242170534</t>
  </si>
  <si>
    <t>امين الحق ابو طيب</t>
  </si>
  <si>
    <t>INV025239887</t>
  </si>
  <si>
    <t>1970-12-06</t>
  </si>
  <si>
    <t>54</t>
  </si>
  <si>
    <t>548809318</t>
  </si>
  <si>
    <t>02-050-0382690</t>
  </si>
  <si>
    <t>Apr 14 2025 10:35AM</t>
  </si>
  <si>
    <t>1847542</t>
  </si>
  <si>
    <t>ERPATIENT 1439   ERPATIENT 1439</t>
  </si>
  <si>
    <t>INV025244396</t>
  </si>
  <si>
    <t>1995-04-18</t>
  </si>
  <si>
    <t>02-050-0387609</t>
  </si>
  <si>
    <t>Apr 21 2025  8:53AM</t>
  </si>
  <si>
    <t>2455996336</t>
  </si>
  <si>
    <t>الطريفي يوسف احمد محمد</t>
  </si>
  <si>
    <t>INV025244401</t>
  </si>
  <si>
    <t>546296046</t>
  </si>
  <si>
    <t>02-050-0387613</t>
  </si>
  <si>
    <t>Apr 21 2025  8:56AM</t>
  </si>
  <si>
    <t>2601066489</t>
  </si>
  <si>
    <t>نورو محمد حسن حسن</t>
  </si>
  <si>
    <t>INV025245109</t>
  </si>
  <si>
    <t>1993-05-30</t>
  </si>
  <si>
    <t>537881349</t>
  </si>
  <si>
    <t>02-050-0387720</t>
  </si>
  <si>
    <t>Apr 21 2025 10:10AM</t>
  </si>
  <si>
    <t>2470242963</t>
  </si>
  <si>
    <t>عبدالهادى حسين جمعه عبدالله</t>
  </si>
  <si>
    <t>INV025246024</t>
  </si>
  <si>
    <t>مستشفى الامير عبدالمحسن بالعلا</t>
  </si>
  <si>
    <t>مركز صحي العذيب</t>
  </si>
  <si>
    <t>1981-03-15</t>
  </si>
  <si>
    <t>44</t>
  </si>
  <si>
    <t>531016207</t>
  </si>
  <si>
    <t>2515264642</t>
  </si>
  <si>
    <t>غوفران محمد  لياش</t>
  </si>
  <si>
    <t>INV025246194</t>
  </si>
  <si>
    <t>1984-01-05</t>
  </si>
  <si>
    <t>41</t>
  </si>
  <si>
    <t>الهند</t>
  </si>
  <si>
    <t>02-050-0388853</t>
  </si>
  <si>
    <t>Apr 22 2025 10:20AM</t>
  </si>
  <si>
    <t>6139684693</t>
  </si>
  <si>
    <t>جيني   هاكيزيمانا</t>
  </si>
  <si>
    <t>INV025246551</t>
  </si>
  <si>
    <t>2003-03-27</t>
  </si>
  <si>
    <t>22</t>
  </si>
  <si>
    <t>جمهورية أفريقيا الوسطى</t>
  </si>
  <si>
    <t>590978774</t>
  </si>
  <si>
    <t>02-050-0389159</t>
  </si>
  <si>
    <t>Apr 22 2025  2:04PM</t>
  </si>
  <si>
    <t>EP9104940</t>
  </si>
  <si>
    <t>DAMEKECH GEGE  AMECHO</t>
  </si>
  <si>
    <t>INV025247798</t>
  </si>
  <si>
    <t>المركز الطبي للهيئة الملكية بينبع</t>
  </si>
  <si>
    <t>1992-02-11</t>
  </si>
  <si>
    <t>556655306</t>
  </si>
  <si>
    <t>02-050-0390364</t>
  </si>
  <si>
    <t>Apr 23 2025  3:18PM</t>
  </si>
  <si>
    <t>2498062021</t>
  </si>
  <si>
    <t>حسين ادم محمد النعمه</t>
  </si>
  <si>
    <t>INV025248140</t>
  </si>
  <si>
    <t>1998-01-01</t>
  </si>
  <si>
    <t>590581260</t>
  </si>
  <si>
    <t>02-050-0390672</t>
  </si>
  <si>
    <t>Apr 24 2025  8:35AM</t>
  </si>
  <si>
    <t>2599735822</t>
  </si>
  <si>
    <t>محمد   حسين</t>
  </si>
  <si>
    <t>INV025248212</t>
  </si>
  <si>
    <t>1994-10-13</t>
  </si>
  <si>
    <t>537710769</t>
  </si>
  <si>
    <t>02-050-0390727</t>
  </si>
  <si>
    <t>Apr 24 2025  9:16AM</t>
  </si>
  <si>
    <t>eq1953502</t>
  </si>
  <si>
    <t>محمود ديقان حسان حسان</t>
  </si>
  <si>
    <t>INV025249705</t>
  </si>
  <si>
    <t>مستشفى الحناكية العام</t>
  </si>
  <si>
    <t>مركز صحي الشقرة للرعاية الصحية الأولية</t>
  </si>
  <si>
    <t>2002-04-02</t>
  </si>
  <si>
    <t>566698466</t>
  </si>
  <si>
    <t>02-050-0392128</t>
  </si>
  <si>
    <t>Apr 27 2025 11:07AM</t>
  </si>
  <si>
    <t>2479745909</t>
  </si>
  <si>
    <t>وحيد احمد منصور حسين</t>
  </si>
  <si>
    <t>INV025250762</t>
  </si>
  <si>
    <t>1986-11-02</t>
  </si>
  <si>
    <t>582947150</t>
  </si>
  <si>
    <t>Apr 27 2025 12:00AM</t>
  </si>
  <si>
    <t>02-050-0392974</t>
  </si>
  <si>
    <t>Apr 28 2025  8:11AM</t>
  </si>
  <si>
    <t>1175664562</t>
  </si>
  <si>
    <t>مريم خيران سبيل الرشيدي</t>
  </si>
  <si>
    <t>INV025255693</t>
  </si>
  <si>
    <t>مركز صحي الثمد</t>
  </si>
  <si>
    <t>2015-11-10</t>
  </si>
  <si>
    <t>9</t>
  </si>
  <si>
    <t>536277392</t>
  </si>
  <si>
    <t>02-050-0398629,02-050-0399374,02-050-0399519</t>
  </si>
  <si>
    <t>May  6 2025  3:15PM,May  7 2025  2:15PM,May  7 2025  7:10PM</t>
  </si>
  <si>
    <t>1160152482</t>
  </si>
  <si>
    <t>هاجر خيران سبيل الرشيدي</t>
  </si>
  <si>
    <t>INV025255702</t>
  </si>
  <si>
    <t>2012-07-13</t>
  </si>
  <si>
    <t>12</t>
  </si>
  <si>
    <t>02-050-0398602,02-050-0399382,02-050-0399520</t>
  </si>
  <si>
    <t>May  6 2025  3:02PM,May  7 2025  2:21PM,May  7 2025  7:12PM</t>
  </si>
  <si>
    <t>2599832660</t>
  </si>
  <si>
    <t>محمد أشرف  فياز</t>
  </si>
  <si>
    <t>INV025257917</t>
  </si>
  <si>
    <t>مستشفى  ينبع الوطني للخدمات الطبية</t>
  </si>
  <si>
    <t>مركز صحي الاقيفة</t>
  </si>
  <si>
    <t>2003-02-27</t>
  </si>
  <si>
    <t>544628132</t>
  </si>
  <si>
    <t>2409436157</t>
  </si>
  <si>
    <t>ريا ريشيل غالمايو فاشكيج</t>
  </si>
  <si>
    <t>INV025258392</t>
  </si>
  <si>
    <t>1986-03-27</t>
  </si>
  <si>
    <t>39</t>
  </si>
  <si>
    <t>الفلبين</t>
  </si>
  <si>
    <t>543117006</t>
  </si>
  <si>
    <t>02-050-0400396</t>
  </si>
  <si>
    <t>May 10 2025 12:37PM</t>
  </si>
  <si>
    <t>6141458045</t>
  </si>
  <si>
    <t>Yisau Akanefe Oyeyemi yy</t>
  </si>
  <si>
    <t>INV025258939</t>
  </si>
  <si>
    <t>مستشفى المواساة للخدمات الطبية</t>
  </si>
  <si>
    <t>1977-01-24</t>
  </si>
  <si>
    <t>48</t>
  </si>
  <si>
    <t>نيجيريا</t>
  </si>
  <si>
    <t>555000000</t>
  </si>
  <si>
    <t>02-050-0400464</t>
  </si>
  <si>
    <t>May 10 2025  6:50PM</t>
  </si>
  <si>
    <t>2491994030</t>
  </si>
  <si>
    <t>ابوبكر الصديق الرشيد دفع الله الشيخ</t>
  </si>
  <si>
    <t>INV025259646</t>
  </si>
  <si>
    <t>1987-09-28</t>
  </si>
  <si>
    <t>562423062</t>
  </si>
  <si>
    <t>May 11 2025 12:00AM</t>
  </si>
  <si>
    <t>Apr 26 2025 12:00AM</t>
  </si>
  <si>
    <t>02-050-0401098</t>
  </si>
  <si>
    <t>May 11 2025  1:37PM</t>
  </si>
  <si>
    <t>EP9049857</t>
  </si>
  <si>
    <t>GAMILA ABABIYA  ABDALLA</t>
  </si>
  <si>
    <t>INV025259761</t>
  </si>
  <si>
    <t>2001-10-03</t>
  </si>
  <si>
    <t>572760407</t>
  </si>
  <si>
    <t>May 14 2025 12:00AM</t>
  </si>
  <si>
    <t>حمى ,صداع , intermittent Fever</t>
  </si>
  <si>
    <t>May 12 2025 12:00AM,May 14 2025 12:00AM,May 11 2025 12:00AM</t>
  </si>
  <si>
    <t>02-050-0401174</t>
  </si>
  <si>
    <t>May 11 2025  2:55PM</t>
  </si>
  <si>
    <t>P1943968</t>
  </si>
  <si>
    <t>MOHAMMED   NAVED NAVED</t>
  </si>
  <si>
    <t>INV025259951</t>
  </si>
  <si>
    <t>عالي جدًا - حاج من الخارج</t>
  </si>
  <si>
    <t>1988-12-04</t>
  </si>
  <si>
    <t>581670314</t>
  </si>
  <si>
    <t>May 10 2025 12:00AM</t>
  </si>
  <si>
    <t>02-050-0403224</t>
  </si>
  <si>
    <t>May 14 2025 10:01AM</t>
  </si>
  <si>
    <t>EQ1114121</t>
  </si>
  <si>
    <t>NAMI   Semon</t>
  </si>
  <si>
    <t>INV025260956</t>
  </si>
  <si>
    <t>2002-02-17</t>
  </si>
  <si>
    <t>508345640</t>
  </si>
  <si>
    <t>02-050-0403005,02-050-0403006</t>
  </si>
  <si>
    <t>May 14 2025 12:58AM,May 14 2025  1:00AM</t>
  </si>
  <si>
    <t>1111368708</t>
  </si>
  <si>
    <t>مصعب سلمان عابد الحجيلي</t>
  </si>
  <si>
    <t>INV025260961</t>
  </si>
  <si>
    <t>2001-04-18</t>
  </si>
  <si>
    <t>531417549</t>
  </si>
  <si>
    <t>02-050-0403007,02-050-0403008</t>
  </si>
  <si>
    <t>May 14 2025  1:01AM,May 14 2025  1:03AM</t>
  </si>
  <si>
    <t>B03934177</t>
  </si>
  <si>
    <t>YISAU   AKANFE</t>
  </si>
  <si>
    <t>INV025261241</t>
  </si>
  <si>
    <t>منخفض</t>
  </si>
  <si>
    <t>يوجد خطأ في ما تم إدخاله</t>
  </si>
  <si>
    <t>590374584</t>
  </si>
  <si>
    <t>02-050-0402667</t>
  </si>
  <si>
    <t>May 13 2025  1:31PM</t>
  </si>
  <si>
    <t>13pc32884</t>
  </si>
  <si>
    <t>rabi malick  kamil</t>
  </si>
  <si>
    <t>INV025261697</t>
  </si>
  <si>
    <t>مركز المراقبة الصحية</t>
  </si>
  <si>
    <t>1951-01-01</t>
  </si>
  <si>
    <t>74</t>
  </si>
  <si>
    <t>597747487</t>
  </si>
  <si>
    <t>02-050-0403180,02-050-0403183</t>
  </si>
  <si>
    <t>May 14 2025  9:40AM,May 14 2025  9:42AM</t>
  </si>
  <si>
    <t>4489072423</t>
  </si>
  <si>
    <t>احمد ابوذر جوده محمد</t>
  </si>
  <si>
    <t>INV025262377</t>
  </si>
  <si>
    <t>2019-04-02</t>
  </si>
  <si>
    <t>6</t>
  </si>
  <si>
    <t>530079548</t>
  </si>
  <si>
    <t>02-050-0403717</t>
  </si>
  <si>
    <t>May 14 2025  4:02PM</t>
  </si>
  <si>
    <t>2422033973</t>
  </si>
  <si>
    <t>محمد خان جمات خان</t>
  </si>
  <si>
    <t>INV025262549</t>
  </si>
  <si>
    <t>537111916</t>
  </si>
  <si>
    <t>001094044</t>
  </si>
  <si>
    <t>KADA   SOW</t>
  </si>
  <si>
    <t>INV025263318</t>
  </si>
  <si>
    <t>مستشفى الحرم الميداني</t>
  </si>
  <si>
    <t>1959-01-01</t>
  </si>
  <si>
    <t>66</t>
  </si>
  <si>
    <t>غينيا</t>
  </si>
  <si>
    <t>506796692</t>
  </si>
  <si>
    <t>02-050-0404580</t>
  </si>
  <si>
    <t>May 15 2025 11:41PM</t>
  </si>
  <si>
    <t>2533951212</t>
  </si>
  <si>
    <t>محمد غفران  صديقي</t>
  </si>
  <si>
    <t>INV025263657</t>
  </si>
  <si>
    <t>1994-04-10</t>
  </si>
  <si>
    <t>582938579</t>
  </si>
  <si>
    <t>02-050-0404810</t>
  </si>
  <si>
    <t>May 17 2025  3:09PM</t>
  </si>
  <si>
    <t>1117970630</t>
  </si>
  <si>
    <t>يزيد حسين بن هديبان الحربي</t>
  </si>
  <si>
    <t>INV025263803</t>
  </si>
  <si>
    <t>مركز صحي الدويمة للرعاية الصحية الأولية</t>
  </si>
  <si>
    <t>1998-11-15</t>
  </si>
  <si>
    <t>580972379</t>
  </si>
  <si>
    <t>02-050-0404911,02-050-0404912</t>
  </si>
  <si>
    <t>May 17 2025 11:52PM,May 17 2025 11:53PM</t>
  </si>
  <si>
    <t>EZ05742331</t>
  </si>
  <si>
    <t>مجتبى محمد ياسين بهني</t>
  </si>
  <si>
    <t>INV025264763</t>
  </si>
  <si>
    <t>مركز صحي الحرة الشرقية</t>
  </si>
  <si>
    <t>2022-10-09</t>
  </si>
  <si>
    <t>2</t>
  </si>
  <si>
    <t>594072517</t>
  </si>
  <si>
    <t>02-050-0406456</t>
  </si>
  <si>
    <t>May 19 2025  3:07PM</t>
  </si>
  <si>
    <t>2604405429</t>
  </si>
  <si>
    <t>ايمن امير بشاره ناصر</t>
  </si>
  <si>
    <t>INV025265674</t>
  </si>
  <si>
    <t>مستشفى المدينة الوطني</t>
  </si>
  <si>
    <t>2003-11-19</t>
  </si>
  <si>
    <t>558710829</t>
  </si>
  <si>
    <t>02-050-0406552</t>
  </si>
  <si>
    <t>May 19 2025  5:12PM</t>
  </si>
  <si>
    <t>(عدة عناصر)</t>
  </si>
  <si>
    <t>عدد من Nationality</t>
  </si>
  <si>
    <t>6142779340</t>
  </si>
  <si>
    <t>MUHAMMADU   YAYAJI</t>
  </si>
  <si>
    <t>INV025266476</t>
  </si>
  <si>
    <t>1975-07-12</t>
  </si>
  <si>
    <t>559933670</t>
  </si>
  <si>
    <t>02-050-0407334</t>
  </si>
  <si>
    <t>May 20 2025  3:21PM</t>
  </si>
  <si>
    <t>2500240680</t>
  </si>
  <si>
    <t>الامين محمد بله على</t>
  </si>
  <si>
    <t>INV025266725</t>
  </si>
  <si>
    <t>مركز صحي ريم للرعاية الصحية الأولية</t>
  </si>
  <si>
    <t>1987-01-01</t>
  </si>
  <si>
    <t>596456669</t>
  </si>
  <si>
    <t>May 17 2025 12:00AM</t>
  </si>
  <si>
    <t>02-050-0407569</t>
  </si>
  <si>
    <t>May 21 2025  8:30AM</t>
  </si>
  <si>
    <t>2597833371</t>
  </si>
  <si>
    <t>سيمبا   شامار</t>
  </si>
  <si>
    <t>INV025267805</t>
  </si>
  <si>
    <t>2003-06-19</t>
  </si>
  <si>
    <t>نيبال</t>
  </si>
  <si>
    <t>571039116</t>
  </si>
  <si>
    <t>02-050-0408699</t>
  </si>
  <si>
    <t>May 22 2025 12:25PM</t>
  </si>
  <si>
    <t>6141991829</t>
  </si>
  <si>
    <t>عيسى   موسى</t>
  </si>
  <si>
    <t>INV025268160</t>
  </si>
  <si>
    <t>1975-06-03</t>
  </si>
  <si>
    <t>50</t>
  </si>
  <si>
    <t>544649315</t>
  </si>
  <si>
    <t>02-050-0409012,02-050-0409013,02-050-0409059</t>
  </si>
  <si>
    <t>May 22 2025 10:39PM,May 22 2025 10:43PM,May 23 2025  1:58PM</t>
  </si>
  <si>
    <t>P11092452</t>
  </si>
  <si>
    <t>ELTIGANI MOHAMMED AHMED HAMD</t>
  </si>
  <si>
    <t>INV025268284</t>
  </si>
  <si>
    <t>عالي جدًا – سائح</t>
  </si>
  <si>
    <t>1963-01-01</t>
  </si>
  <si>
    <t>550460215</t>
  </si>
  <si>
    <t>02-050-0409073,02-050-0409074</t>
  </si>
  <si>
    <t>May 23 2025  8:46PM,May 23 2025  8:48PM</t>
  </si>
  <si>
    <t>2495997245</t>
  </si>
  <si>
    <t>امير تميم حمد العماس</t>
  </si>
  <si>
    <t>INV025269541</t>
  </si>
  <si>
    <t>1984-01-01</t>
  </si>
  <si>
    <t>548023709</t>
  </si>
  <si>
    <t xml:space="preserve">Vomiting,حمى </t>
  </si>
  <si>
    <t>May 22 2025 12:00AM,May 21 2025 12:00AM</t>
  </si>
  <si>
    <t>02-050-0410100</t>
  </si>
  <si>
    <t>May 25 2025  3:03PM</t>
  </si>
  <si>
    <t>2568980532</t>
  </si>
  <si>
    <t>محمد اقبال حاجي محمد نور محمد</t>
  </si>
  <si>
    <t>INV025272973</t>
  </si>
  <si>
    <t>1966-04-02</t>
  </si>
  <si>
    <t>507713023</t>
  </si>
  <si>
    <t>02-050-0413310</t>
  </si>
  <si>
    <t>May 29 2025  8:13PM</t>
  </si>
  <si>
    <t>6142163002</t>
  </si>
  <si>
    <t>انس   اداموا</t>
  </si>
  <si>
    <t>INV025272982</t>
  </si>
  <si>
    <t>2000-08-02</t>
  </si>
  <si>
    <t>560803190</t>
  </si>
  <si>
    <t>02-050-0413315</t>
  </si>
  <si>
    <t>May 29 2025  8:33PM</t>
  </si>
  <si>
    <t xml:space="preserve">B04342367 </t>
  </si>
  <si>
    <t>anas   adamu</t>
  </si>
  <si>
    <t>INV025273043</t>
  </si>
  <si>
    <t>507685699</t>
  </si>
  <si>
    <t>2433960867</t>
  </si>
  <si>
    <t>يوسف علي طورب علي</t>
  </si>
  <si>
    <t>INV025273345</t>
  </si>
  <si>
    <t>1984-06-05</t>
  </si>
  <si>
    <t>550011582</t>
  </si>
  <si>
    <t>02-050-0413601</t>
  </si>
  <si>
    <t>May 31 2025 11:37AM</t>
  </si>
  <si>
    <t>6135145091</t>
  </si>
  <si>
    <t>صالح مراد صالح حسين</t>
  </si>
  <si>
    <t>INV025276071</t>
  </si>
  <si>
    <t>2008-12-08</t>
  </si>
  <si>
    <t>16</t>
  </si>
  <si>
    <t>500868610</t>
  </si>
  <si>
    <t>02-050-0417651</t>
  </si>
  <si>
    <t>Jun  9 2025  2:45PM</t>
  </si>
  <si>
    <t>2335103459</t>
  </si>
  <si>
    <t>تواب علي مختار علي</t>
  </si>
  <si>
    <t>INV025276687</t>
  </si>
  <si>
    <t>مركز صحى الغزلانى</t>
  </si>
  <si>
    <t>554424577</t>
  </si>
  <si>
    <t>02-050-0416491</t>
  </si>
  <si>
    <t>Jun  5 2025  7:22PM</t>
  </si>
  <si>
    <t>2467096042</t>
  </si>
  <si>
    <t>ايمن عمر العوض محمد</t>
  </si>
  <si>
    <t>INV025276778</t>
  </si>
  <si>
    <t>1983-01-01</t>
  </si>
  <si>
    <t>42</t>
  </si>
  <si>
    <t>577012495</t>
  </si>
  <si>
    <t>02-050-0417646</t>
  </si>
  <si>
    <t>Jun  9 2025  2:41PM</t>
  </si>
  <si>
    <t>1059020311</t>
  </si>
  <si>
    <t>محمد سالم عويض الحربي</t>
  </si>
  <si>
    <t>INV025277978</t>
  </si>
  <si>
    <t>مركز صحي حي الملك فهد بالمدينة المنورة</t>
  </si>
  <si>
    <t>1960-12-19</t>
  </si>
  <si>
    <t>64</t>
  </si>
  <si>
    <t>554611930</t>
  </si>
  <si>
    <t>Failed</t>
  </si>
  <si>
    <t>Jun  9 2025 12:00AM</t>
  </si>
  <si>
    <t>1036418711</t>
  </si>
  <si>
    <t>صالح عوض محمد الرحيلي</t>
  </si>
  <si>
    <t>INV025277981</t>
  </si>
  <si>
    <t>1959-01-11</t>
  </si>
  <si>
    <t>560302071</t>
  </si>
  <si>
    <t>P11670969</t>
  </si>
  <si>
    <t>إسراء   النور</t>
  </si>
  <si>
    <t>INV025277986</t>
  </si>
  <si>
    <t>مركز صحي المخطط الجنوبي</t>
  </si>
  <si>
    <t>1990-05-01</t>
  </si>
  <si>
    <t>532021327</t>
  </si>
  <si>
    <t>02-050-0417641</t>
  </si>
  <si>
    <t>Jun  9 2025  2:37PM</t>
  </si>
  <si>
    <t>INV025281016</t>
  </si>
  <si>
    <t>مركز القصواء للرعاية الصحية الأولية</t>
  </si>
  <si>
    <t>02-050-0420091</t>
  </si>
  <si>
    <t>Jun 15 2025 10:11AM</t>
  </si>
  <si>
    <t>2487196780</t>
  </si>
  <si>
    <t>محمد جواد بير محمد خان</t>
  </si>
  <si>
    <t>INV025281037</t>
  </si>
  <si>
    <t>1998-05-20</t>
  </si>
  <si>
    <t>590482523</t>
  </si>
  <si>
    <t>02-050-0420112</t>
  </si>
  <si>
    <t>Jun 15 2025 10:27AM</t>
  </si>
  <si>
    <t>6143066953</t>
  </si>
  <si>
    <t>Abdalla Ibrahil Abdalla Ibrahil</t>
  </si>
  <si>
    <t>INV025281421</t>
  </si>
  <si>
    <t>مستشفى المهد العام</t>
  </si>
  <si>
    <t>مركز صحي المهد</t>
  </si>
  <si>
    <t>1998-10-04</t>
  </si>
  <si>
    <t>507155539</t>
  </si>
  <si>
    <t>صداع ,Jaundice,Fever&gt;= 38</t>
  </si>
  <si>
    <t>Jun 14 2025 12:00AM,Jun 13 2025 12:00AM,Jun 13 2025 12:00AM</t>
  </si>
  <si>
    <t>3562723894</t>
  </si>
  <si>
    <t>INV025282613</t>
  </si>
  <si>
    <t>2001-10-21</t>
  </si>
  <si>
    <t>557509603</t>
  </si>
  <si>
    <t>02-050-0421616</t>
  </si>
  <si>
    <t>Jun 17 2025 10:18AM</t>
  </si>
  <si>
    <t>2602995413</t>
  </si>
  <si>
    <t>منيره ماما  نوريا</t>
  </si>
  <si>
    <t>INV025283711</t>
  </si>
  <si>
    <t>523145954</t>
  </si>
  <si>
    <t>02-050-0422613</t>
  </si>
  <si>
    <t>Jun 18 2025  1:57PM</t>
  </si>
  <si>
    <t>EQ1255393</t>
  </si>
  <si>
    <t>فيروزا   أباميشا</t>
  </si>
  <si>
    <t>INV025283720</t>
  </si>
  <si>
    <t>02-050-0422621</t>
  </si>
  <si>
    <t>Jun 18 2025  2:00PM</t>
  </si>
  <si>
    <t>6143221639</t>
  </si>
  <si>
    <t>حياه   مولا</t>
  </si>
  <si>
    <t>INV025283726</t>
  </si>
  <si>
    <t>مركز صحي طيبة</t>
  </si>
  <si>
    <t>1999-10-07</t>
  </si>
  <si>
    <t>506338113</t>
  </si>
  <si>
    <t>Jun 21 2025 12:00AM</t>
  </si>
  <si>
    <t>02-050-0422631</t>
  </si>
  <si>
    <t>Jun 18 2025  2:03PM</t>
  </si>
  <si>
    <t>1089499576</t>
  </si>
  <si>
    <t>عبدالرحمن عوض دليم البلوي</t>
  </si>
  <si>
    <t>INV025284669</t>
  </si>
  <si>
    <t>مركز صحي مدائن صالح</t>
  </si>
  <si>
    <t>1993-02-08</t>
  </si>
  <si>
    <t>554677051</t>
  </si>
  <si>
    <t>02-050-0424058</t>
  </si>
  <si>
    <t>Jun 22 2025  7:23AM</t>
  </si>
  <si>
    <t xml:space="preserve">P11195235 </t>
  </si>
  <si>
    <t>ELHIBER MOHAMED HUSSEIN IBRAHIM</t>
  </si>
  <si>
    <t>INV025284700</t>
  </si>
  <si>
    <t>2003-07-08</t>
  </si>
  <si>
    <t>554132783</t>
  </si>
  <si>
    <t xml:space="preserve">Vomiting,حمى ,صداع </t>
  </si>
  <si>
    <t>Jun 20 2025 12:00AM,Jun 20 2025 12:00AM,Jun 20 2025 12:00AM</t>
  </si>
  <si>
    <t>02-050-0423719,02-050-0423720</t>
  </si>
  <si>
    <t>Jun 20 2025 10:17AM,Jun 20 2025 10:18AM</t>
  </si>
  <si>
    <t>2596460309</t>
  </si>
  <si>
    <t>جونيد خان غلام خان</t>
  </si>
  <si>
    <t>INV025284915</t>
  </si>
  <si>
    <t>مركز الدفاع للرعاية الصحية الاولية</t>
  </si>
  <si>
    <t>2001-12-15</t>
  </si>
  <si>
    <t>565430835</t>
  </si>
  <si>
    <t>02-050-0423887</t>
  </si>
  <si>
    <t>Jun 21 2025 12:56PM</t>
  </si>
  <si>
    <t>rn1227691</t>
  </si>
  <si>
    <t>جول   امريز</t>
  </si>
  <si>
    <t>INV025285095</t>
  </si>
  <si>
    <t>1971-01-01</t>
  </si>
  <si>
    <t>551318456</t>
  </si>
  <si>
    <t>Jun 22 2025 12:00AM</t>
  </si>
  <si>
    <t>02-050-0424027</t>
  </si>
  <si>
    <t>Jun 21 2025 10:25PM</t>
  </si>
  <si>
    <t>EQ1401981</t>
  </si>
  <si>
    <t>Yones Alebachew Yones Mohammed</t>
  </si>
  <si>
    <t>INV025285415</t>
  </si>
  <si>
    <t>2004-01-23</t>
  </si>
  <si>
    <t>531310369</t>
  </si>
  <si>
    <t>Vomiting,حمى ,Diarrhea</t>
  </si>
  <si>
    <t>Jun 21 2025 12:00AM,Jun 22 2025 12:00AM,Jun 22 2025 12:00AM</t>
  </si>
  <si>
    <t>02-050-0424358</t>
  </si>
  <si>
    <t>Jun 22 2025 10:10AM</t>
  </si>
  <si>
    <t>2476732629</t>
  </si>
  <si>
    <t>صمد حسين ساكر علي</t>
  </si>
  <si>
    <t>INV025285719</t>
  </si>
  <si>
    <t>1990-11-10</t>
  </si>
  <si>
    <t>571653394</t>
  </si>
  <si>
    <t>02-050-0424644</t>
  </si>
  <si>
    <t>Jun 22 2025  1:34PM</t>
  </si>
  <si>
    <t>2528837566</t>
  </si>
  <si>
    <t>واجد علي حبدار علي</t>
  </si>
  <si>
    <t>INV025288834</t>
  </si>
  <si>
    <t>مركز الرعاية الصحية الاولية باليتمة</t>
  </si>
  <si>
    <t>1992-09-28</t>
  </si>
  <si>
    <t>508373695</t>
  </si>
  <si>
    <t>Jun 25 2025 12:00AM,Jun 24 2025 12:00AM</t>
  </si>
  <si>
    <t>02-050-0427883</t>
  </si>
  <si>
    <t>Jun 26 2025  2:34PM</t>
  </si>
  <si>
    <t>2483612863</t>
  </si>
  <si>
    <t>حسين حماد الخير حسن</t>
  </si>
  <si>
    <t>INV025289050</t>
  </si>
  <si>
    <t>596510998</t>
  </si>
  <si>
    <t>02-050-0430208</t>
  </si>
  <si>
    <t>Jul  1 2025 12:19PM</t>
  </si>
  <si>
    <t>p12866376</t>
  </si>
  <si>
    <t>نسمه ضيف الله عبدالكريم احمد</t>
  </si>
  <si>
    <t>INV025289639</t>
  </si>
  <si>
    <t>1984-01-31</t>
  </si>
  <si>
    <t>577420566</t>
  </si>
  <si>
    <t>02-050-0428560</t>
  </si>
  <si>
    <t>Jun 29 2025  9:43AM</t>
  </si>
  <si>
    <t>2379684646</t>
  </si>
  <si>
    <t>معتصم عباس يوسف محمد</t>
  </si>
  <si>
    <t>INV025289824</t>
  </si>
  <si>
    <t>مستشفى العيص العام</t>
  </si>
  <si>
    <t>مركز صحي المربع</t>
  </si>
  <si>
    <t>1980-01-01</t>
  </si>
  <si>
    <t>554276170</t>
  </si>
  <si>
    <t>02-050-0428669</t>
  </si>
  <si>
    <t>Jun 29 2025 11:15AM</t>
  </si>
  <si>
    <t xml:space="preserve">3568125672 </t>
  </si>
  <si>
    <t>YONS TELAY   TELAY</t>
  </si>
  <si>
    <t>INV025290051</t>
  </si>
  <si>
    <t>2000-12-04</t>
  </si>
  <si>
    <t>553892903</t>
  </si>
  <si>
    <t>02-050-0428991,02-050-0428996</t>
  </si>
  <si>
    <t>Jun 29 2025  3:01PM,Jun 29 2025  3:03PM</t>
  </si>
  <si>
    <t>6135673302</t>
  </si>
  <si>
    <t>fatima ahmad ahmad ahmad</t>
  </si>
  <si>
    <t>INV025293601</t>
  </si>
  <si>
    <t>مركز الرعاية الصحية الآولية بالعيص</t>
  </si>
  <si>
    <t>2000-01-19</t>
  </si>
  <si>
    <t>02-050-0432066</t>
  </si>
  <si>
    <t>Jul  6 2025  8:47AM</t>
  </si>
  <si>
    <t>1118966330</t>
  </si>
  <si>
    <t>ناصر سعيد داله الرشيدي</t>
  </si>
  <si>
    <t>INV025294427</t>
  </si>
  <si>
    <t>2003-01-08</t>
  </si>
  <si>
    <t>02-050-0432889</t>
  </si>
  <si>
    <t>Jul  7 2025  8:15AM</t>
  </si>
  <si>
    <t>2542661174</t>
  </si>
  <si>
    <t>هامزا   سيبيغا</t>
  </si>
  <si>
    <t>INV025294437</t>
  </si>
  <si>
    <t>المركز الطبي الجامعي بالجامعة الاسلامية</t>
  </si>
  <si>
    <t>1999-04-08</t>
  </si>
  <si>
    <t>571089001</t>
  </si>
  <si>
    <t>02-050-0432899</t>
  </si>
  <si>
    <t>Jul  7 2025  8:21AM</t>
  </si>
  <si>
    <t>6143861513</t>
  </si>
  <si>
    <t>حسن   جمير</t>
  </si>
  <si>
    <t>INV025294885</t>
  </si>
  <si>
    <t>1987-06-05</t>
  </si>
  <si>
    <t>565600490</t>
  </si>
  <si>
    <t>DAMA</t>
  </si>
  <si>
    <t>Jul  8 2025 12:00AM</t>
  </si>
  <si>
    <t>02-050-0433345</t>
  </si>
  <si>
    <t>Jul  7 2025  1:57PM</t>
  </si>
  <si>
    <t>AC5984594</t>
  </si>
  <si>
    <t>siraj   siraj</t>
  </si>
  <si>
    <t>INV025297494</t>
  </si>
  <si>
    <t>مركز صحي الحرة الغربية</t>
  </si>
  <si>
    <t>1998-09-10</t>
  </si>
  <si>
    <t>596233972</t>
  </si>
  <si>
    <t>02-050-0435799</t>
  </si>
  <si>
    <t>Jul 13 2025  8:04AM</t>
  </si>
  <si>
    <t>2579896453</t>
  </si>
  <si>
    <t>عوانة محمد احمد عوانة شاجره</t>
  </si>
  <si>
    <t>INV025297506</t>
  </si>
  <si>
    <t>1999-01-01</t>
  </si>
  <si>
    <t>535198793</t>
  </si>
  <si>
    <t>02-050-0435814</t>
  </si>
  <si>
    <t>Jul 13 2025  8:19AM</t>
  </si>
  <si>
    <t>6144349704</t>
  </si>
  <si>
    <t>MIWA   Jana</t>
  </si>
  <si>
    <t>INV025298331</t>
  </si>
  <si>
    <t>508341842</t>
  </si>
  <si>
    <t>Jul 14 2025 12:00AM</t>
  </si>
  <si>
    <t>02-050-0436617</t>
  </si>
  <si>
    <t>Jul 13 2025  6:50PM</t>
  </si>
  <si>
    <t>SG1854401</t>
  </si>
  <si>
    <t>Said Azeem Khuwary Khan</t>
  </si>
  <si>
    <t>INV025298517</t>
  </si>
  <si>
    <t>1945-03-14</t>
  </si>
  <si>
    <t>80</t>
  </si>
  <si>
    <t>595473871</t>
  </si>
  <si>
    <t>02-050-0436810</t>
  </si>
  <si>
    <t>Jul 14 2025  9:29AM</t>
  </si>
  <si>
    <t>6144287975</t>
  </si>
  <si>
    <t>سارفراز   علي</t>
  </si>
  <si>
    <t>INV025298962</t>
  </si>
  <si>
    <t>2008-03-08</t>
  </si>
  <si>
    <t>567788773</t>
  </si>
  <si>
    <t>Jul 15 2025 12:00AM</t>
  </si>
  <si>
    <t>02-050-0437316</t>
  </si>
  <si>
    <t>Jul 14 2025  3:09PM</t>
  </si>
  <si>
    <t>EP9024793</t>
  </si>
  <si>
    <t>MOHAMMED   SAYED</t>
  </si>
  <si>
    <t>INV025299538</t>
  </si>
  <si>
    <t>مركز صحي الحناكية للرعاية الصحية الأولية</t>
  </si>
  <si>
    <t>2000-03-26</t>
  </si>
  <si>
    <t>559377362</t>
  </si>
  <si>
    <t>02-050-0437919</t>
  </si>
  <si>
    <t>Jul 15 2025  2:45PM</t>
  </si>
  <si>
    <t>2595541422</t>
  </si>
  <si>
    <t>شفيق احمد امير كمال</t>
  </si>
  <si>
    <t>INV025299889</t>
  </si>
  <si>
    <t>مركز صحي العصيلي</t>
  </si>
  <si>
    <t>2000-03-15</t>
  </si>
  <si>
    <t>561804678</t>
  </si>
  <si>
    <t>02-050-0438151</t>
  </si>
  <si>
    <t>Jul 16 2025  8:34AM</t>
  </si>
  <si>
    <t>EP8222198</t>
  </si>
  <si>
    <t>MOHAMMED   ABDALLA</t>
  </si>
  <si>
    <t>INV025306665</t>
  </si>
  <si>
    <t>1999-01-24</t>
  </si>
  <si>
    <t>541319819</t>
  </si>
  <si>
    <t>02-050-0444130</t>
  </si>
  <si>
    <t>Jul 28 2025  9:09AM</t>
  </si>
  <si>
    <t>2499269260</t>
  </si>
  <si>
    <t>محمد احمد شبير احمد</t>
  </si>
  <si>
    <t>INV025306629</t>
  </si>
  <si>
    <t>1991-01-11</t>
  </si>
  <si>
    <t>566645976</t>
  </si>
  <si>
    <t>02-050-0444117</t>
  </si>
  <si>
    <t>Jul 28 2025  9:02AM</t>
  </si>
  <si>
    <t>s3608162</t>
  </si>
  <si>
    <t>محمد محي الدين  محمد</t>
  </si>
  <si>
    <t>INV025306288</t>
  </si>
  <si>
    <t>2000-11-05</t>
  </si>
  <si>
    <t>594308330</t>
  </si>
  <si>
    <t>02-050-0443795</t>
  </si>
  <si>
    <t>Jul 27 2025  3:20PM</t>
  </si>
  <si>
    <t>1070307846</t>
  </si>
  <si>
    <t>نواف منصور صالح الميهوبي</t>
  </si>
  <si>
    <t>INV025306169</t>
  </si>
  <si>
    <t>1988-11-06</t>
  </si>
  <si>
    <t>552532093</t>
  </si>
  <si>
    <t>02-050-0443709</t>
  </si>
  <si>
    <t>Jul 27 2025 12:54PM</t>
  </si>
  <si>
    <t>6144276581</t>
  </si>
  <si>
    <t>KHADIDJA NANA   TAHIR</t>
  </si>
  <si>
    <t>INV025305267</t>
  </si>
  <si>
    <t>1998-08-31</t>
  </si>
  <si>
    <t>الكاميرون</t>
  </si>
  <si>
    <t>565822803</t>
  </si>
  <si>
    <t>02-050-0442990</t>
  </si>
  <si>
    <t>Jul 25 2025  7:47AM</t>
  </si>
  <si>
    <t>B50335063</t>
  </si>
  <si>
    <t>SALWA ADEBANKE  TAIRAT</t>
  </si>
  <si>
    <t>INV025304940</t>
  </si>
  <si>
    <t>مستشفي الزهراء الخاص</t>
  </si>
  <si>
    <t>1970-02-17</t>
  </si>
  <si>
    <t>55</t>
  </si>
  <si>
    <t>576051159</t>
  </si>
  <si>
    <t>02-050-0442745,02-050-0442750</t>
  </si>
  <si>
    <t>Jul 24 2025 12:13PM,Jul 24 2025 12:17PM</t>
  </si>
  <si>
    <t>MN1170232</t>
  </si>
  <si>
    <t>MOHAMMED SHAFEK SHAFEK AHMED</t>
  </si>
  <si>
    <t>INV025303688</t>
  </si>
  <si>
    <t>1963-09-01</t>
  </si>
  <si>
    <t>61</t>
  </si>
  <si>
    <t>532209128</t>
  </si>
  <si>
    <t>02-050-0441665</t>
  </si>
  <si>
    <t>Jul 22 2025  2:24PM</t>
  </si>
  <si>
    <t>1065816397</t>
  </si>
  <si>
    <t>هديه مفضي فضي الرشيدي</t>
  </si>
  <si>
    <t>INV025303641</t>
  </si>
  <si>
    <t>مركز صحي خيبر</t>
  </si>
  <si>
    <t>1973-07-30</t>
  </si>
  <si>
    <t>52</t>
  </si>
  <si>
    <t>538162709</t>
  </si>
  <si>
    <t>02-050-0441618</t>
  </si>
  <si>
    <t>Jul 22 2025  1:33PM</t>
  </si>
  <si>
    <t>2609485533</t>
  </si>
  <si>
    <t>نصيره نيجيف  اباجيهاد</t>
  </si>
  <si>
    <t>INV025303625</t>
  </si>
  <si>
    <t>1997-10-17</t>
  </si>
  <si>
    <t>544500928</t>
  </si>
  <si>
    <t>02-050-0441612</t>
  </si>
  <si>
    <t>Jul 22 2025  1:25PM</t>
  </si>
  <si>
    <t>2595972254</t>
  </si>
  <si>
    <t>مجمد   حسين</t>
  </si>
  <si>
    <t>INV025303531</t>
  </si>
  <si>
    <t>2003-08-07</t>
  </si>
  <si>
    <t>565226179</t>
  </si>
  <si>
    <t>02-050-0441515</t>
  </si>
  <si>
    <t>Jul 22 2025 11:42AM</t>
  </si>
  <si>
    <t>6144383902</t>
  </si>
  <si>
    <t>Shahida   Khanum</t>
  </si>
  <si>
    <t>INV025302588</t>
  </si>
  <si>
    <t>593988838</t>
  </si>
  <si>
    <t>02-050-0440625,02-050-0440642</t>
  </si>
  <si>
    <t>Jul 21 2025  9:36AM,Jul 21 2025  9:49AM</t>
  </si>
  <si>
    <t>RG9197162</t>
  </si>
  <si>
    <t>IBRAHIM   ISSAKA</t>
  </si>
  <si>
    <t>INV025302261</t>
  </si>
  <si>
    <t>مستشفى الحياة الوطنى بالمدينة</t>
  </si>
  <si>
    <t>2002-01-01</t>
  </si>
  <si>
    <t>558488097</t>
  </si>
  <si>
    <t>02-050-0440341</t>
  </si>
  <si>
    <t>Jul 20 2025  3:07PM</t>
  </si>
  <si>
    <t>6144396595</t>
  </si>
  <si>
    <t>Zara   Jidda</t>
  </si>
  <si>
    <t>INV025302200</t>
  </si>
  <si>
    <t>1988-01-01</t>
  </si>
  <si>
    <t>530418080</t>
  </si>
  <si>
    <t>History of surgical intervention or blood transfer,Patient had accident before current illness,Recipient - Blood Transfusion,Recipient - Blood Transfusion,Recipient - Blood Transfusion</t>
  </si>
  <si>
    <t>Jul 20 2025 12:00AM,Jul 20 2025 12:00AM,Jul 20 2025 12:00AM,Jul 20 2025 12:00AM,Jul 20 2025 12:00AM</t>
  </si>
  <si>
    <t>Jul 20 2025 12:00AM</t>
  </si>
  <si>
    <t>02-050-0440212</t>
  </si>
  <si>
    <t>Jul 20 2025  1:35PM</t>
  </si>
  <si>
    <t>2542862954</t>
  </si>
  <si>
    <t>نصير   نجيم</t>
  </si>
  <si>
    <t>INV025302054</t>
  </si>
  <si>
    <t>2000-06-18</t>
  </si>
  <si>
    <t>جزر القمر</t>
  </si>
  <si>
    <t>530744942</t>
  </si>
  <si>
    <t>02-050-0440093</t>
  </si>
  <si>
    <t>Jul 20 2025 11:52AM</t>
  </si>
  <si>
    <t>6144335562</t>
  </si>
  <si>
    <t>GHULAM   HYDER</t>
  </si>
  <si>
    <t>INV025301287</t>
  </si>
  <si>
    <t xml:space="preserve"> إحالة خارجية تم رفضها</t>
  </si>
  <si>
    <t>مركز صحي باب المجيدي الدائم</t>
  </si>
  <si>
    <t>1994-09-09</t>
  </si>
  <si>
    <t>557614952</t>
  </si>
  <si>
    <t>Recipient - Blood Transfusion</t>
  </si>
  <si>
    <t>02-050-0439438,02-050-0439439</t>
  </si>
  <si>
    <t>Jul 18 2025  9:01PM,Jul 18 2025  9:13PM</t>
  </si>
  <si>
    <t>QZ1832361</t>
  </si>
  <si>
    <t>AYAZ ALI   ASLAM</t>
  </si>
  <si>
    <t>INV025308645</t>
  </si>
  <si>
    <t>2002-04-21</t>
  </si>
  <si>
    <t>551708496</t>
  </si>
  <si>
    <t>02-050-0445939</t>
  </si>
  <si>
    <t>Jul 30 2025 12:21PM</t>
  </si>
  <si>
    <t>2303527838</t>
  </si>
  <si>
    <t>يونس   عبدالله</t>
  </si>
  <si>
    <t>INV025310374</t>
  </si>
  <si>
    <t>2006-09-12</t>
  </si>
  <si>
    <t>18</t>
  </si>
  <si>
    <t>542991892</t>
  </si>
  <si>
    <t>02-050-0447391</t>
  </si>
  <si>
    <t>Aug  3 2025 10:24AM</t>
  </si>
  <si>
    <t>2470043379</t>
  </si>
  <si>
    <t>عبدالمنعم الامين اسماعيل محمد</t>
  </si>
  <si>
    <t>INV025310902</t>
  </si>
  <si>
    <t>1992-01-01</t>
  </si>
  <si>
    <t>599210761</t>
  </si>
  <si>
    <t>02-050-0448164</t>
  </si>
  <si>
    <t>Aug  4 2025 11:17AM</t>
  </si>
  <si>
    <t>P07805060</t>
  </si>
  <si>
    <t>AMNA AL TAHER  MOHAMED</t>
  </si>
  <si>
    <t>INV025311403</t>
  </si>
  <si>
    <t>1961-01-01</t>
  </si>
  <si>
    <t>530279880</t>
  </si>
  <si>
    <t>02-050-0448290</t>
  </si>
  <si>
    <t>Aug  4 2025  1:13PM</t>
  </si>
  <si>
    <t>p10341732</t>
  </si>
  <si>
    <t>ابو بكر ابو عاقله  عبدالسلام</t>
  </si>
  <si>
    <t>INV025312142</t>
  </si>
  <si>
    <t>535297691</t>
  </si>
  <si>
    <t>02-050-0448998</t>
  </si>
  <si>
    <t>Aug  5 2025  1:42PM</t>
  </si>
  <si>
    <t>b04528124</t>
  </si>
  <si>
    <t>ابراهيم   سالي</t>
  </si>
  <si>
    <t>INV025313759</t>
  </si>
  <si>
    <t>1976-01-01</t>
  </si>
  <si>
    <t>546489548</t>
  </si>
  <si>
    <t>02-050-0450462</t>
  </si>
  <si>
    <t>Aug  8 2025  9:11AM</t>
  </si>
  <si>
    <t>EQ2515615</t>
  </si>
  <si>
    <t>ALEM   YIMER</t>
  </si>
  <si>
    <t>INV025314057</t>
  </si>
  <si>
    <t>591689764</t>
  </si>
  <si>
    <t>02-050-0450850</t>
  </si>
  <si>
    <t>Aug 10 2025  9:30AM</t>
  </si>
  <si>
    <t>2492634478</t>
  </si>
  <si>
    <t>نو رحمن برا خان</t>
  </si>
  <si>
    <t>INV025314101</t>
  </si>
  <si>
    <t>507437278</t>
  </si>
  <si>
    <t>02-050-0450749</t>
  </si>
  <si>
    <t>Aug 10 2025  8:20AM</t>
  </si>
  <si>
    <t>2540965213</t>
  </si>
  <si>
    <t>امجد   محمد</t>
  </si>
  <si>
    <t>INV025314235</t>
  </si>
  <si>
    <t>مركز صحي الفيصلية للرعاية الصحية الأولية</t>
  </si>
  <si>
    <t>1998-09-04</t>
  </si>
  <si>
    <t>535458561</t>
  </si>
  <si>
    <t>02-050-0450839</t>
  </si>
  <si>
    <t>Aug 10 2025  9:23AM</t>
  </si>
  <si>
    <t>2567263716</t>
  </si>
  <si>
    <t>باسيرو محمد  سانوسي</t>
  </si>
  <si>
    <t>INV025316986</t>
  </si>
  <si>
    <t>2005-01-14</t>
  </si>
  <si>
    <t>548353397</t>
  </si>
  <si>
    <t>02-050-0453440</t>
  </si>
  <si>
    <t>Aug 13 2025  2:05PM</t>
  </si>
  <si>
    <t>6146185065</t>
  </si>
  <si>
    <t>NOOR   Zaiba</t>
  </si>
  <si>
    <t>INV025317086</t>
  </si>
  <si>
    <t>1957-01-01</t>
  </si>
  <si>
    <t>68</t>
  </si>
  <si>
    <t>570146983</t>
  </si>
  <si>
    <t>02-050-0453539</t>
  </si>
  <si>
    <t>Aug 13 2025  3:40PM</t>
  </si>
  <si>
    <t>6145467517</t>
  </si>
  <si>
    <t>دنيا   ارمين</t>
  </si>
  <si>
    <t>INV025317251</t>
  </si>
  <si>
    <t>2011-03-04</t>
  </si>
  <si>
    <t>14</t>
  </si>
  <si>
    <t>549220786</t>
  </si>
  <si>
    <t>Aug 18 2025 12:00AM</t>
  </si>
  <si>
    <t>02-050-0453663</t>
  </si>
  <si>
    <t>Aug 14 2025  2:10AM</t>
  </si>
  <si>
    <t>2531382337</t>
  </si>
  <si>
    <t>زين البدين عباسي محمد</t>
  </si>
  <si>
    <t>INV025317695</t>
  </si>
  <si>
    <t>1990-02-05</t>
  </si>
  <si>
    <t>591989304</t>
  </si>
  <si>
    <t>02-050-0454092</t>
  </si>
  <si>
    <t>Aug 14 2025  1:37PM</t>
  </si>
  <si>
    <t>INV025319096</t>
  </si>
  <si>
    <t>02-050-0455145</t>
  </si>
  <si>
    <t>Aug 17 2025  1:41PM</t>
  </si>
  <si>
    <t>2553882073</t>
  </si>
  <si>
    <t>محمد محمد طاهر يوسف</t>
  </si>
  <si>
    <t>INV025319675</t>
  </si>
  <si>
    <t>2003-01-01</t>
  </si>
  <si>
    <t>561671210</t>
  </si>
  <si>
    <t>02-050-0455615</t>
  </si>
  <si>
    <t>Aug 18 2025  9:04AM</t>
  </si>
  <si>
    <t>EQ2139466</t>
  </si>
  <si>
    <t>MOHAMMED MOHAMMED  ALI AHMED</t>
  </si>
  <si>
    <t>INV025319723</t>
  </si>
  <si>
    <t>1987-03-30</t>
  </si>
  <si>
    <t>554034009</t>
  </si>
  <si>
    <t>02-050-0455647</t>
  </si>
  <si>
    <t>Aug 18 2025  9:30AM</t>
  </si>
  <si>
    <t>P09946404</t>
  </si>
  <si>
    <t>RINAD ABD ALRAHMAN ABD ALIh Ahmad</t>
  </si>
  <si>
    <t>INV025319752</t>
  </si>
  <si>
    <t>2018-05-28</t>
  </si>
  <si>
    <t>7</t>
  </si>
  <si>
    <t>552113182</t>
  </si>
  <si>
    <t>02-050-0455688,02-050-0457316</t>
  </si>
  <si>
    <t>Aug 18 2025  9:59AM,Aug 20 2025 12:34PM</t>
  </si>
  <si>
    <t>AD4925221</t>
  </si>
  <si>
    <t>Kauro Rab  Nawaz</t>
  </si>
  <si>
    <t>INV025320785</t>
  </si>
  <si>
    <t>1956-01-01</t>
  </si>
  <si>
    <t>69</t>
  </si>
  <si>
    <t>537804695</t>
  </si>
  <si>
    <t>02-050-0457229</t>
  </si>
  <si>
    <t>Aug 20 2025 11:11AM</t>
  </si>
  <si>
    <t>2529295574</t>
  </si>
  <si>
    <t>MASSAHOUD   OUEDRAOGO</t>
  </si>
  <si>
    <t>INV025320905</t>
  </si>
  <si>
    <t>المركز الطبي الجامعي</t>
  </si>
  <si>
    <t>1999-12-31</t>
  </si>
  <si>
    <t>بوركينافاسو</t>
  </si>
  <si>
    <t>582863893</t>
  </si>
  <si>
    <t>02-050-0456983</t>
  </si>
  <si>
    <t>Aug 20 2025  8:08AM</t>
  </si>
  <si>
    <t>2543199604</t>
  </si>
  <si>
    <t>محمد وكيل محمد منور</t>
  </si>
  <si>
    <t>INV025321012</t>
  </si>
  <si>
    <t>قسم نواقل المرض والأمراض المشتركة بتجمع المدينة</t>
  </si>
  <si>
    <t>558945219</t>
  </si>
  <si>
    <t>02-050-0457225</t>
  </si>
  <si>
    <t>Aug 20 2025 11:09AM</t>
  </si>
  <si>
    <t>6146108263</t>
  </si>
  <si>
    <t>محمد أنس  خان</t>
  </si>
  <si>
    <t>INV025321183</t>
  </si>
  <si>
    <t>1992-10-17</t>
  </si>
  <si>
    <t>573544792</t>
  </si>
  <si>
    <t>02-050-0456918</t>
  </si>
  <si>
    <t>Aug 19 2025  9:55PM</t>
  </si>
  <si>
    <t>2426834905</t>
  </si>
  <si>
    <t>عبد العزيز  جقتي</t>
  </si>
  <si>
    <t>INV025324392</t>
  </si>
  <si>
    <t>1994-06-15</t>
  </si>
  <si>
    <t>591987071</t>
  </si>
  <si>
    <t>Aug 22 2025 12:00AM</t>
  </si>
  <si>
    <t>02-050-0459507</t>
  </si>
  <si>
    <t>Aug 25 2025  8:14AM</t>
  </si>
  <si>
    <t>2553978087</t>
  </si>
  <si>
    <t>احمدو اسعيد   تنغوينو</t>
  </si>
  <si>
    <t>INV025324401</t>
  </si>
  <si>
    <t>2002-12-15</t>
  </si>
  <si>
    <t>568091587</t>
  </si>
  <si>
    <t>Aug 19 2025 12:00AM</t>
  </si>
  <si>
    <t>02-050-0459516</t>
  </si>
  <si>
    <t>Aug 25 2025  8:25AM</t>
  </si>
  <si>
    <t>2498175799</t>
  </si>
  <si>
    <t>احمد طالب   باه</t>
  </si>
  <si>
    <t>INV025324413</t>
  </si>
  <si>
    <t>1997-10-08</t>
  </si>
  <si>
    <t>سيراليون</t>
  </si>
  <si>
    <t>547003719</t>
  </si>
  <si>
    <t>02-050-0459561</t>
  </si>
  <si>
    <t>Aug 25 2025  8:58AM</t>
  </si>
  <si>
    <t>2597013099</t>
  </si>
  <si>
    <t>محمد اقبال رسول قل</t>
  </si>
  <si>
    <t>INV025324422</t>
  </si>
  <si>
    <t>1988-03-01</t>
  </si>
  <si>
    <t>569324396</t>
  </si>
  <si>
    <t>02-050-0459528</t>
  </si>
  <si>
    <t>Aug 25 2025  8:39AM</t>
  </si>
  <si>
    <t>2518697756</t>
  </si>
  <si>
    <t>عوض  الكريم مختار عبد القادر مختار</t>
  </si>
  <si>
    <t>INV025324445</t>
  </si>
  <si>
    <t>1985-08-02</t>
  </si>
  <si>
    <t>564547731</t>
  </si>
  <si>
    <t>02-050-0459550</t>
  </si>
  <si>
    <t>Aug 25 2025  8:51AM</t>
  </si>
  <si>
    <t>6146070689</t>
  </si>
  <si>
    <t>مقصود محمد  حسن</t>
  </si>
  <si>
    <t>INV025324695</t>
  </si>
  <si>
    <t>2007-02-01</t>
  </si>
  <si>
    <t>567115991</t>
  </si>
  <si>
    <t>02-050-0459786</t>
  </si>
  <si>
    <t>Aug 25 2025 11:17AM</t>
  </si>
  <si>
    <t>2612044913</t>
  </si>
  <si>
    <t>محمد سيد   ييمر</t>
  </si>
  <si>
    <t>INV025324744</t>
  </si>
  <si>
    <t>2000-05-26</t>
  </si>
  <si>
    <t>2612679676</t>
  </si>
  <si>
    <t>باريت حاجي  حسين</t>
  </si>
  <si>
    <t>INV025324753</t>
  </si>
  <si>
    <t>مركز صحي الجرف</t>
  </si>
  <si>
    <t>1997-11-07</t>
  </si>
  <si>
    <t>563331321</t>
  </si>
  <si>
    <t>2515834675</t>
  </si>
  <si>
    <t>عمر عبد الكريم  أبو بكر</t>
  </si>
  <si>
    <t>INV025325156</t>
  </si>
  <si>
    <t>2002-06-22</t>
  </si>
  <si>
    <t>569690320</t>
  </si>
  <si>
    <t>Aug 26 2025 12:00AM,Aug 26 2025 12:00AM</t>
  </si>
  <si>
    <t>02-050-0460212</t>
  </si>
  <si>
    <t>Aug 26 2025  7:47AM</t>
  </si>
  <si>
    <t>2474487648</t>
  </si>
  <si>
    <t>ALABA WALIYULLAHI  BADMUS</t>
  </si>
  <si>
    <t>INV025325166</t>
  </si>
  <si>
    <t>1998-04-17</t>
  </si>
  <si>
    <t>583178120</t>
  </si>
  <si>
    <t xml:space="preserve">حمى ,صداع </t>
  </si>
  <si>
    <t>Aug 23 2025 12:00AM,Aug 23 2025 12:00AM</t>
  </si>
  <si>
    <t>02-050-0460224</t>
  </si>
  <si>
    <t>Aug 26 2025  8:09AM</t>
  </si>
  <si>
    <t>EQ2078570</t>
  </si>
  <si>
    <t>AMZA   MOHAMMED</t>
  </si>
  <si>
    <t>INV025325520</t>
  </si>
  <si>
    <t>مستشفى الحمنه العام</t>
  </si>
  <si>
    <t>الرويضة</t>
  </si>
  <si>
    <t>2002-05-17</t>
  </si>
  <si>
    <t>553012405</t>
  </si>
  <si>
    <t>02-050-0460527</t>
  </si>
  <si>
    <t>Aug 26 2025 12:10PM</t>
  </si>
  <si>
    <t>EQ2829203</t>
  </si>
  <si>
    <t>Lomi Mohammed Mohammed Mohammed</t>
  </si>
  <si>
    <t>INV025325634</t>
  </si>
  <si>
    <t>مركز رعاية صحية أولية بالعمق</t>
  </si>
  <si>
    <t>1996-08-26</t>
  </si>
  <si>
    <t>507183640</t>
  </si>
  <si>
    <t>02-050-0460632</t>
  </si>
  <si>
    <t>Aug 26 2025  1:52PM</t>
  </si>
  <si>
    <t>2476640251</t>
  </si>
  <si>
    <t>ابوبكر عبد القادر السماني جبوره</t>
  </si>
  <si>
    <t>INV025325977</t>
  </si>
  <si>
    <t>1997-01-01</t>
  </si>
  <si>
    <t>544512290</t>
  </si>
  <si>
    <t>Aug 22 2025 12:00AM,Aug 27 2025 12:00AM</t>
  </si>
  <si>
    <t>02-050-0460886</t>
  </si>
  <si>
    <t>Aug 27 2025  7:52AM</t>
  </si>
  <si>
    <t>2542980251</t>
  </si>
  <si>
    <t>عثمان   عبدالنور</t>
  </si>
  <si>
    <t>INV025325983</t>
  </si>
  <si>
    <t>2003-05-24</t>
  </si>
  <si>
    <t>564145879</t>
  </si>
  <si>
    <t>02-050-0460890</t>
  </si>
  <si>
    <t>Aug 27 2025  7:57AM</t>
  </si>
  <si>
    <t>2496631207</t>
  </si>
  <si>
    <t>عبد الرحمن   توغو</t>
  </si>
  <si>
    <t>INV025325987</t>
  </si>
  <si>
    <t>557649885</t>
  </si>
  <si>
    <t>Aug 21 2025 12:00AM,Aug 21 2025 12:00AM</t>
  </si>
  <si>
    <t>02-050-0460896</t>
  </si>
  <si>
    <t>Aug 27 2025  8:02AM</t>
  </si>
  <si>
    <t>2259867444</t>
  </si>
  <si>
    <t>محمد ناظم حضور بخش</t>
  </si>
  <si>
    <t>INV025325996</t>
  </si>
  <si>
    <t>1986-04-16</t>
  </si>
  <si>
    <t>596573504</t>
  </si>
  <si>
    <t>Aug 23 2025 12:00AM</t>
  </si>
  <si>
    <t>02-050-0460901</t>
  </si>
  <si>
    <t>Aug 27 2025  8:07AM</t>
  </si>
  <si>
    <t>1125812881</t>
  </si>
  <si>
    <t>سلطان خلف مناور المطيري</t>
  </si>
  <si>
    <t>INV025326315</t>
  </si>
  <si>
    <t>2002-04-26</t>
  </si>
  <si>
    <t>558370540</t>
  </si>
  <si>
    <t>Vomiting, intermittent Fever</t>
  </si>
  <si>
    <t>Aug 25 2025 12:00AM,Aug 19 2025 12:00AM</t>
  </si>
  <si>
    <t>02-050-0461740,02-050-0461741</t>
  </si>
  <si>
    <t>Aug 28 2025  9:58AM,Aug 28 2025 10:01AM</t>
  </si>
  <si>
    <t>2564419717</t>
  </si>
  <si>
    <t>حسن   أمرالدين</t>
  </si>
  <si>
    <t>INV025328156</t>
  </si>
  <si>
    <t>1998-09-15</t>
  </si>
  <si>
    <t>553035704</t>
  </si>
  <si>
    <t>02-050-0462636</t>
  </si>
  <si>
    <t>Aug 31 2025  9:04AM</t>
  </si>
  <si>
    <t>2397209624</t>
  </si>
  <si>
    <t>ابراهيم حسن احمد عبدالله</t>
  </si>
  <si>
    <t>INV025328187</t>
  </si>
  <si>
    <t>565728253</t>
  </si>
  <si>
    <t>02-050-0462666</t>
  </si>
  <si>
    <t>Aug 31 2025  9:18AM</t>
  </si>
  <si>
    <t>2512077963</t>
  </si>
  <si>
    <t>زكريا   بري</t>
  </si>
  <si>
    <t>INV025328212</t>
  </si>
  <si>
    <t>1999-02-01</t>
  </si>
  <si>
    <t>548271318</t>
  </si>
  <si>
    <t>02-050-0462679</t>
  </si>
  <si>
    <t>Aug 31 2025  9:26AM</t>
  </si>
  <si>
    <t>2569470715</t>
  </si>
  <si>
    <t>الفا محمد   جالوه</t>
  </si>
  <si>
    <t>INV025328443</t>
  </si>
  <si>
    <t>1999-12-01</t>
  </si>
  <si>
    <t>509664571</t>
  </si>
  <si>
    <t>02-050-0462851</t>
  </si>
  <si>
    <t>Aug 31 2025 10:56AM</t>
  </si>
  <si>
    <t>2567262858</t>
  </si>
  <si>
    <t>مالك ألايولا  فاديل</t>
  </si>
  <si>
    <t>INV025329275</t>
  </si>
  <si>
    <t>2003-12-27</t>
  </si>
  <si>
    <t>504650479</t>
  </si>
  <si>
    <t>2538374378</t>
  </si>
  <si>
    <t>ابكر عيسي  احمد</t>
  </si>
  <si>
    <t>INV025329286</t>
  </si>
  <si>
    <t>مركز الرعاية الصحيه الأولية بالعوالي</t>
  </si>
  <si>
    <t>المديرية العامة للشؤون الصحية بمنطقة مكة المكرمة</t>
  </si>
  <si>
    <t>580369967</t>
  </si>
  <si>
    <t>Aug 27 2025 12:00AM,Aug 27 2025 12:00AM</t>
  </si>
  <si>
    <t>02-050-0463485</t>
  </si>
  <si>
    <t>Sep  1 2025 10:20AM</t>
  </si>
  <si>
    <t>2543224295</t>
  </si>
  <si>
    <t>محمد نور عيسي  محمد</t>
  </si>
  <si>
    <t>INV025329300</t>
  </si>
  <si>
    <t>2000-01-01</t>
  </si>
  <si>
    <t>538792919</t>
  </si>
  <si>
    <t>02-050-0463497</t>
  </si>
  <si>
    <t>Sep  1 2025 10:27AM</t>
  </si>
  <si>
    <t>P09555412</t>
  </si>
  <si>
    <t>ANAMZARL   MOMAND</t>
  </si>
  <si>
    <t>INV025329775</t>
  </si>
  <si>
    <t>1968-03-21</t>
  </si>
  <si>
    <t>57</t>
  </si>
  <si>
    <t>افغانستان</t>
  </si>
  <si>
    <t>568414443</t>
  </si>
  <si>
    <t>02-050-0463937</t>
  </si>
  <si>
    <t>Sep  1 2025  5:59PM</t>
  </si>
  <si>
    <t>2496391968</t>
  </si>
  <si>
    <t>تاجدين   ايوا</t>
  </si>
  <si>
    <t>INV025330717</t>
  </si>
  <si>
    <t>2000-04-05</t>
  </si>
  <si>
    <t>توجو</t>
  </si>
  <si>
    <t>590632624</t>
  </si>
  <si>
    <t>2326477797</t>
  </si>
  <si>
    <t>خالد عبد الله الطيب محمد</t>
  </si>
  <si>
    <t>INV025331135</t>
  </si>
  <si>
    <t>509648524</t>
  </si>
  <si>
    <t>02-050-0465206</t>
  </si>
  <si>
    <t>Sep  3 2025  1:21PM</t>
  </si>
  <si>
    <t>EP7022027</t>
  </si>
  <si>
    <t>ميهاد   كامل</t>
  </si>
  <si>
    <t>INV025331156</t>
  </si>
  <si>
    <t>1973-09-11</t>
  </si>
  <si>
    <t>جزر برمودا</t>
  </si>
  <si>
    <t>500000000</t>
  </si>
  <si>
    <t>02-050-0465224</t>
  </si>
  <si>
    <t>Sep  3 2025  1:36PM</t>
  </si>
  <si>
    <t>2543393496</t>
  </si>
  <si>
    <t>فقيه أحمد  عبده</t>
  </si>
  <si>
    <t>INV025331510</t>
  </si>
  <si>
    <t>1997-02-01</t>
  </si>
  <si>
    <t>534413577</t>
  </si>
  <si>
    <t>وافدة من الداخل خبيثة</t>
  </si>
  <si>
    <t>2568200485</t>
  </si>
  <si>
    <t>عليو كابري  أبو بكر</t>
  </si>
  <si>
    <t>INV025332198</t>
  </si>
  <si>
    <t>2004-07-12</t>
  </si>
  <si>
    <t>547680912</t>
  </si>
  <si>
    <t>02-050-0466522</t>
  </si>
  <si>
    <t>Sep  7 2025  8:57AM</t>
  </si>
  <si>
    <t>2541382095</t>
  </si>
  <si>
    <t>محمد   جالوه</t>
  </si>
  <si>
    <t>INV025332200</t>
  </si>
  <si>
    <t>2000-03-07</t>
  </si>
  <si>
    <t>535518106</t>
  </si>
  <si>
    <t>RK9604745</t>
  </si>
  <si>
    <t>Rozi   Adoum</t>
  </si>
  <si>
    <t>INV025332272</t>
  </si>
  <si>
    <t>1962-01-01</t>
  </si>
  <si>
    <t>63</t>
  </si>
  <si>
    <t>595824200</t>
  </si>
  <si>
    <t> intermittent Fever,loss of appetite</t>
  </si>
  <si>
    <t>Sep  1 2025 12:00AM,Sep  1 2025 12:00AM</t>
  </si>
  <si>
    <t>02-050-0466189,02-050-0466190</t>
  </si>
  <si>
    <t>Sep  5 2025 12:20PM,Sep  5 2025 12:26PM</t>
  </si>
  <si>
    <t>2566818015</t>
  </si>
  <si>
    <t>محمد عيسي محمد حسن</t>
  </si>
  <si>
    <t>INV025332726</t>
  </si>
  <si>
    <t>2003-04-01</t>
  </si>
  <si>
    <t>563508493</t>
  </si>
  <si>
    <t>Aug 28 2025 12:00AM,Aug 28 2025 12:00AM,Aug 28 2025 12:00AM</t>
  </si>
  <si>
    <t>02-050-0466535</t>
  </si>
  <si>
    <t>Sep  7 2025  9:03AM</t>
  </si>
  <si>
    <t>2483768830</t>
  </si>
  <si>
    <t>مزمل محمد محمد بيلو</t>
  </si>
  <si>
    <t>INV025333735</t>
  </si>
  <si>
    <t>547185641</t>
  </si>
  <si>
    <t>02-050-0467373</t>
  </si>
  <si>
    <t>Sep  8 2025  8:43AM</t>
  </si>
  <si>
    <t>3775878</t>
  </si>
  <si>
    <t>Afeefa MAREEM  MAREEM</t>
  </si>
  <si>
    <t>INV025334291</t>
  </si>
  <si>
    <t>مستشفى احد</t>
  </si>
  <si>
    <t>1998-09-27</t>
  </si>
  <si>
    <t>507964057</t>
  </si>
  <si>
    <t>02-050-0467934,02-050-0467957</t>
  </si>
  <si>
    <t>Sep  8 2025  2:38PM,Sep  8 2025  2:50PM</t>
  </si>
  <si>
    <t>2496748910</t>
  </si>
  <si>
    <t>تهيرنو ابوبكر  دياللو</t>
  </si>
  <si>
    <t>INV025334995</t>
  </si>
  <si>
    <t>2001-05-15</t>
  </si>
  <si>
    <t>508225321</t>
  </si>
  <si>
    <t>02-050-0469628</t>
  </si>
  <si>
    <t>Sep 10 2025  1:39PM</t>
  </si>
  <si>
    <t>AD330411</t>
  </si>
  <si>
    <t>MOHAMMED   NAGORI</t>
  </si>
  <si>
    <t>INV025335370</t>
  </si>
  <si>
    <t>2003-09-25</t>
  </si>
  <si>
    <t>511898737</t>
  </si>
  <si>
    <t>02-050-0468983</t>
  </si>
  <si>
    <t>Sep  9 2025  6:06PM</t>
  </si>
  <si>
    <t>14826160</t>
  </si>
  <si>
    <t>أكرم محمد محسن محسن</t>
  </si>
  <si>
    <t>INV025335540</t>
  </si>
  <si>
    <t>2000-10-06</t>
  </si>
  <si>
    <t>537420921</t>
  </si>
  <si>
    <t>Sep  1 2025 12:00AM</t>
  </si>
  <si>
    <t>02-050-0469115</t>
  </si>
  <si>
    <t>Sep 10 2025  8:24AM</t>
  </si>
  <si>
    <t>2453017499</t>
  </si>
  <si>
    <t>شوكت علي بهول  فاتح محمد</t>
  </si>
  <si>
    <t>INV025335545</t>
  </si>
  <si>
    <t>1976-02-01</t>
  </si>
  <si>
    <t>596149964</t>
  </si>
  <si>
    <t>02-050-0469118</t>
  </si>
  <si>
    <t>Sep 10 2025  8:26AM</t>
  </si>
  <si>
    <t>2474304561</t>
  </si>
  <si>
    <t>عمر الامين محمد علي</t>
  </si>
  <si>
    <t>INV025336777</t>
  </si>
  <si>
    <t>1987-07-05</t>
  </si>
  <si>
    <t>557302395</t>
  </si>
  <si>
    <t>02-050-0470267</t>
  </si>
  <si>
    <t>Sep 11 2025 11:39AM</t>
  </si>
  <si>
    <t>hv5140393</t>
  </si>
  <si>
    <t>SHIHNAZ   MOHAMMED</t>
  </si>
  <si>
    <t>INV025337455</t>
  </si>
  <si>
    <t>شركة الدكتور حامد سليمان الأحمدي وشركاه المحدوده</t>
  </si>
  <si>
    <t>511838906</t>
  </si>
  <si>
    <t>02-050-0470884,02-050-0470889</t>
  </si>
  <si>
    <t>Sep 13 2025  3:26PM,Sep 13 2025  3:36PM</t>
  </si>
  <si>
    <t>2531808786</t>
  </si>
  <si>
    <t>OMER IBRAHIM   HUSSEIN MOHA</t>
  </si>
  <si>
    <t>INV025337736</t>
  </si>
  <si>
    <t>545746589</t>
  </si>
  <si>
    <t>Jaundice</t>
  </si>
  <si>
    <t>Sep 14 2025 12:00AM</t>
  </si>
  <si>
    <t>02-050-0471164,02-050-0471170</t>
  </si>
  <si>
    <t>Sep 14 2025  9:25AM,Sep 14 2025  9:27AM</t>
  </si>
  <si>
    <t>5203581</t>
  </si>
  <si>
    <t>سمينا   بيباي</t>
  </si>
  <si>
    <t>INV025338196</t>
  </si>
  <si>
    <t>1975-07-05</t>
  </si>
  <si>
    <t>596579384</t>
  </si>
  <si>
    <t>Sep  4 2025 12:00AM,Sep  4 2025 12:00AM</t>
  </si>
  <si>
    <t>02-050-0471581</t>
  </si>
  <si>
    <t>Sep 14 2025  1:14PM</t>
  </si>
  <si>
    <t>B02225081</t>
  </si>
  <si>
    <t>HAWA MUKHTAR  SHESHE</t>
  </si>
  <si>
    <t>INV025338682</t>
  </si>
  <si>
    <t>مستشفى السعودي الالماني شركة الشرق الاوسط للرعاية الصحي</t>
  </si>
  <si>
    <t>1964-05-06</t>
  </si>
  <si>
    <t>566486415</t>
  </si>
  <si>
    <t>3571092091</t>
  </si>
  <si>
    <t>INV025338901</t>
  </si>
  <si>
    <t>مستشفي الانصاري التخصصي</t>
  </si>
  <si>
    <t>1998-07-25</t>
  </si>
  <si>
    <t>بوروندي</t>
  </si>
  <si>
    <t>545703600</t>
  </si>
  <si>
    <t>صداع ,Fever&gt;= 38</t>
  </si>
  <si>
    <t>Sep 15 2025 12:00AM,Sep 15 2025 12:00AM</t>
  </si>
  <si>
    <t>02-050-0472229,02-050-0472235</t>
  </si>
  <si>
    <t>Sep 15 2025 10:22AM,Sep 15 2025 10:25AM</t>
  </si>
  <si>
    <t>2149983815</t>
  </si>
  <si>
    <t>سعيد الافندى حميد حامد</t>
  </si>
  <si>
    <t>INV025339704</t>
  </si>
  <si>
    <t>مركز صحي تلعة نزا</t>
  </si>
  <si>
    <t>1969-01-01</t>
  </si>
  <si>
    <t>509423837</t>
  </si>
  <si>
    <t>02-050-0473056</t>
  </si>
  <si>
    <t>Sep 16 2025  9:22AM</t>
  </si>
  <si>
    <t>2468759515</t>
  </si>
  <si>
    <t>مصطفى احمد  البشير</t>
  </si>
  <si>
    <t>INV025340019</t>
  </si>
  <si>
    <t>1998-02-14</t>
  </si>
  <si>
    <t>596543415</t>
  </si>
  <si>
    <t>02-050-0473415</t>
  </si>
  <si>
    <t>Sep 16 2025  1:14PM</t>
  </si>
  <si>
    <t>P13221547</t>
  </si>
  <si>
    <t>SATANA   OMAR</t>
  </si>
  <si>
    <t>INV025340033</t>
  </si>
  <si>
    <t>مركز عروة للرعاية الصحية الاولية</t>
  </si>
  <si>
    <t>2003-07-13</t>
  </si>
  <si>
    <t>542070419</t>
  </si>
  <si>
    <t>02-050-0473421</t>
  </si>
  <si>
    <t>Sep 16 2025  1:17PM</t>
  </si>
  <si>
    <t>AA7529761</t>
  </si>
  <si>
    <t>TAJRIYAN SULTAN  MUHAMMAD</t>
  </si>
  <si>
    <t>INV025340552</t>
  </si>
  <si>
    <t>578067898</t>
  </si>
  <si>
    <t>02-050-0473922</t>
  </si>
  <si>
    <t>Sep 17 2025  9:34AM</t>
  </si>
  <si>
    <t>6146998798</t>
  </si>
  <si>
    <t>ارون   كومار</t>
  </si>
  <si>
    <t>INV025340599</t>
  </si>
  <si>
    <t>مركز الرعاية الصحية الأولية حي خالد للهيئة الملكية بينبع</t>
  </si>
  <si>
    <t>1993-07-15</t>
  </si>
  <si>
    <t>504398008</t>
  </si>
  <si>
    <t>02-050-0473965</t>
  </si>
  <si>
    <t>Sep 17 2025  9:57AM</t>
  </si>
  <si>
    <t>O00641041</t>
  </si>
  <si>
    <t>Thierno   Alseyni Yero</t>
  </si>
  <si>
    <t>INV025340635</t>
  </si>
  <si>
    <t>2002-07-21</t>
  </si>
  <si>
    <t>539668192</t>
  </si>
  <si>
    <t>02-050-0474006</t>
  </si>
  <si>
    <t>Sep 17 2025 10:21AM</t>
  </si>
  <si>
    <t>CB1423111</t>
  </si>
  <si>
    <t>Muhaammed   Idrees</t>
  </si>
  <si>
    <t>INV025341120</t>
  </si>
  <si>
    <t>2005-08-20</t>
  </si>
  <si>
    <t>551736818</t>
  </si>
  <si>
    <t>02-050-0474660</t>
  </si>
  <si>
    <t>Sep 18 2025  9:02AM</t>
  </si>
  <si>
    <t>613981129</t>
  </si>
  <si>
    <t>الحسين مصطفى  الفقي</t>
  </si>
  <si>
    <t>INV025341551</t>
  </si>
  <si>
    <t>547149062</t>
  </si>
  <si>
    <t>Sep  8 2025 12:00AM,Sep  8 2025 12:00AM</t>
  </si>
  <si>
    <t>02-050-0474976</t>
  </si>
  <si>
    <t>Sep 18 2025 12:57PM</t>
  </si>
  <si>
    <t>A12784959</t>
  </si>
  <si>
    <t>Maijidda   Bawa</t>
  </si>
  <si>
    <t>INV025341863</t>
  </si>
  <si>
    <t>595113148</t>
  </si>
  <si>
    <t>02-050-0475279</t>
  </si>
  <si>
    <t>Sep 18 2025  8:34PM</t>
  </si>
  <si>
    <t>2055726612</t>
  </si>
  <si>
    <t>أحمد جام محمد بخش البلوشي</t>
  </si>
  <si>
    <t>INV025342011</t>
  </si>
  <si>
    <t>1964-01-01</t>
  </si>
  <si>
    <t>557140071</t>
  </si>
  <si>
    <t>02-050-0475372</t>
  </si>
  <si>
    <t>Sep 20 2025  9:38AM</t>
  </si>
  <si>
    <t>2482168412</t>
  </si>
  <si>
    <t>عبد الله على عبد الرحمن عبد الله</t>
  </si>
  <si>
    <t>INV025342477</t>
  </si>
  <si>
    <t>ادارة مكافحة الامراض المعدية</t>
  </si>
  <si>
    <t>556078246</t>
  </si>
  <si>
    <t>02-050-0475731</t>
  </si>
  <si>
    <t>Sep 21 2025  9:05AM</t>
  </si>
  <si>
    <t>2408154140</t>
  </si>
  <si>
    <t>مبارك سعيد حنان الطيب</t>
  </si>
  <si>
    <t>INV025343401</t>
  </si>
  <si>
    <t>مجمع  حكيم طيبة الطبي العام</t>
  </si>
  <si>
    <t>535430959</t>
  </si>
  <si>
    <t>02-050-0476542</t>
  </si>
  <si>
    <t>Sep 21 2025 10:23PM</t>
  </si>
  <si>
    <t>P11781674</t>
  </si>
  <si>
    <t>AUM   ALLY BABKR ABDUL AZEE</t>
  </si>
  <si>
    <t>INV025343443</t>
  </si>
  <si>
    <t>1974-01-01</t>
  </si>
  <si>
    <t>563286188</t>
  </si>
  <si>
    <t>02-050-0476669,02-050-0476675</t>
  </si>
  <si>
    <t>Sep 22 2025  9:11AM,Sep 22 2025  9:14AM</t>
  </si>
  <si>
    <t>2494899145</t>
  </si>
  <si>
    <t>مالك عبدالله اسماعيل بخيت</t>
  </si>
  <si>
    <t>INV025343685</t>
  </si>
  <si>
    <t>569957058</t>
  </si>
  <si>
    <t>02-050-0476812</t>
  </si>
  <si>
    <t>Sep 22 2025 10:20AM</t>
  </si>
  <si>
    <t>6997548</t>
  </si>
  <si>
    <t>hanberi medad  abalulesa</t>
  </si>
  <si>
    <t>INV025343690</t>
  </si>
  <si>
    <t>1997-07-17</t>
  </si>
  <si>
    <t>533319914</t>
  </si>
  <si>
    <t>02-050-0476826</t>
  </si>
  <si>
    <t>Sep 22 2025 10:30AM</t>
  </si>
  <si>
    <t>614850607</t>
  </si>
  <si>
    <t>خادم عبد الباقي  حامد</t>
  </si>
  <si>
    <t>INV025343855</t>
  </si>
  <si>
    <t>1962-02-25</t>
  </si>
  <si>
    <t>554420874</t>
  </si>
  <si>
    <t>02-050-0476956</t>
  </si>
  <si>
    <t>Sep 22 2025 11:59AM</t>
  </si>
  <si>
    <t>2351178815</t>
  </si>
  <si>
    <t>عبد الغني عيسى  اويارخوا</t>
  </si>
  <si>
    <t>INV025343869</t>
  </si>
  <si>
    <t>1975-03-11</t>
  </si>
  <si>
    <t>557828727</t>
  </si>
  <si>
    <t>Sep  4 2025 12:00AM</t>
  </si>
  <si>
    <t>02-050-0476969</t>
  </si>
  <si>
    <t>Sep 22 2025 12:08PM</t>
  </si>
  <si>
    <t>6148971880</t>
  </si>
  <si>
    <t>SHAHIDA   BIBI</t>
  </si>
  <si>
    <t>INV025345215</t>
  </si>
  <si>
    <t>1968-01-01</t>
  </si>
  <si>
    <t>596819457</t>
  </si>
  <si>
    <t>Sep 22 2025 12:00AM</t>
  </si>
  <si>
    <t>02-050-0478254,02-050-0478256</t>
  </si>
  <si>
    <t>Sep 24 2025  1:20PM,Sep 24 2025  1:21PM</t>
  </si>
  <si>
    <t>1142558871</t>
  </si>
  <si>
    <t>أحمد عقيل بن احمد العبدالوهاب</t>
  </si>
  <si>
    <t>INV025345690</t>
  </si>
  <si>
    <t>لا يتوافق مع تعريف الحالة</t>
  </si>
  <si>
    <t>مركز صحي الحليلة للصحة العامة</t>
  </si>
  <si>
    <t>مديرية الشؤون الصحية بمحافظة الإحساء</t>
  </si>
  <si>
    <t>2008-05-28</t>
  </si>
  <si>
    <t>564889386</t>
  </si>
  <si>
    <t>WF3107792</t>
  </si>
  <si>
    <t>SHAHIBA   BIBI</t>
  </si>
  <si>
    <t>INV025345704</t>
  </si>
  <si>
    <t>539641609</t>
  </si>
  <si>
    <t>Sep 16 2025 12:00AM</t>
  </si>
  <si>
    <t>02-050-0478761,02-050-0478763</t>
  </si>
  <si>
    <t>Sep 25 2025  9:53AM,Sep 25 2025  9:54AM</t>
  </si>
  <si>
    <t>BA5792272</t>
  </si>
  <si>
    <t>Lai Johar  Sani</t>
  </si>
  <si>
    <t>INV025346412</t>
  </si>
  <si>
    <t>556471202</t>
  </si>
  <si>
    <t>02-050-0479335,02-050-0479828</t>
  </si>
  <si>
    <t>Sep 26 2025 11:50AM,Sep 28 2025  9:52AM</t>
  </si>
  <si>
    <t>2455806287</t>
  </si>
  <si>
    <t>عمر محمد البشير محمد</t>
  </si>
  <si>
    <t>INV025346615</t>
  </si>
  <si>
    <t>1990-01-26</t>
  </si>
  <si>
    <t>565462204</t>
  </si>
  <si>
    <t>02-050-0479467</t>
  </si>
  <si>
    <t>Sep 27 2025  1:11PM</t>
  </si>
  <si>
    <t>PL3127991</t>
  </si>
  <si>
    <t>Gul Zameena  Bibi</t>
  </si>
  <si>
    <t>INV025346780</t>
  </si>
  <si>
    <t>1991-01-01</t>
  </si>
  <si>
    <t>597484208</t>
  </si>
  <si>
    <t>02-050-0479600,02-050-0479832</t>
  </si>
  <si>
    <t>Sep 28 2025  2:22AM,Sep 28 2025  9:54AM</t>
  </si>
  <si>
    <t>2607926801</t>
  </si>
  <si>
    <t>حبيب محمد ابراهيم كامبراني</t>
  </si>
  <si>
    <t>INV025346818</t>
  </si>
  <si>
    <t>مركز صحي الحزام</t>
  </si>
  <si>
    <t>574687750</t>
  </si>
  <si>
    <t>02-050-0479733,02-050-0479740</t>
  </si>
  <si>
    <t>Sep 28 2025  8:56AM,Sep 28 2025  9:00AM</t>
  </si>
  <si>
    <t>2017322690</t>
  </si>
  <si>
    <t>احمد خان عبدالله خان</t>
  </si>
  <si>
    <t>INV025346822</t>
  </si>
  <si>
    <t>1950-06-13</t>
  </si>
  <si>
    <t>593048840</t>
  </si>
  <si>
    <t>02-050-0479724,02-050-0479728</t>
  </si>
  <si>
    <t>Sep 28 2025  8:51AM,Sep 28 2025  8:55AM</t>
  </si>
  <si>
    <t>B51629100</t>
  </si>
  <si>
    <t>MOHAMMED   ALAA</t>
  </si>
  <si>
    <t>INV025347219</t>
  </si>
  <si>
    <t>1982-06-14</t>
  </si>
  <si>
    <t>548272236</t>
  </si>
  <si>
    <t>02-050-0479961</t>
  </si>
  <si>
    <t>Sep 28 2025 10:54AM</t>
  </si>
  <si>
    <t>6143288173</t>
  </si>
  <si>
    <t>فوزية راتو  كيكي</t>
  </si>
  <si>
    <t>INV025347649</t>
  </si>
  <si>
    <t>1999-09-27</t>
  </si>
  <si>
    <t>أنجولا</t>
  </si>
  <si>
    <t>551590791</t>
  </si>
  <si>
    <t>02-050-0480347</t>
  </si>
  <si>
    <t>Sep 28 2025  2:02PM</t>
  </si>
  <si>
    <t>2490518020</t>
  </si>
  <si>
    <t>عابد الله مبين خان</t>
  </si>
  <si>
    <t>INV025347707</t>
  </si>
  <si>
    <t>مركز رعاية صحية أولية الضميرية</t>
  </si>
  <si>
    <t>504254902</t>
  </si>
  <si>
    <t>02-050-0480383</t>
  </si>
  <si>
    <t>Sep 28 2025  2:30PM</t>
  </si>
  <si>
    <t>2604965042</t>
  </si>
  <si>
    <t>امينات   يمر</t>
  </si>
  <si>
    <t>INV025348911</t>
  </si>
  <si>
    <t>507724405</t>
  </si>
  <si>
    <t>Sep 28 2025 12:00AM</t>
  </si>
  <si>
    <t>02-050-0481621,02-050-0481622</t>
  </si>
  <si>
    <t>Sep 30 2025  7:51AM,Sep 30 2025  7:52AM</t>
  </si>
  <si>
    <t>EQ1109985</t>
  </si>
  <si>
    <t>WELALA MOHAMMED MOHAMMED MOHAMMED</t>
  </si>
  <si>
    <t>INV025348991</t>
  </si>
  <si>
    <t>2003-01-14</t>
  </si>
  <si>
    <t>563532348</t>
  </si>
  <si>
    <t>02-050-0481695</t>
  </si>
  <si>
    <t>Sep 30 2025  8:54AM</t>
  </si>
  <si>
    <t>B04142387</t>
  </si>
  <si>
    <t>حبابه الهاشم  الهاشم</t>
  </si>
  <si>
    <t>INV025351179</t>
  </si>
  <si>
    <t>542628361</t>
  </si>
  <si>
    <t>02-050-0483852</t>
  </si>
  <si>
    <t>Oct  2 2025  1:28PM</t>
  </si>
  <si>
    <t>2492990680</t>
  </si>
  <si>
    <t>فائز محمد الباقر الطاهر</t>
  </si>
  <si>
    <t>INV025351935</t>
  </si>
  <si>
    <t>569809192</t>
  </si>
  <si>
    <t>02-050-0484389</t>
  </si>
  <si>
    <t>Oct  4 2025  7:39PM</t>
  </si>
  <si>
    <t>6149763402</t>
  </si>
  <si>
    <t>عاتقه   اداما</t>
  </si>
  <si>
    <t>INV025351986</t>
  </si>
  <si>
    <t>2013-03-25</t>
  </si>
  <si>
    <t>548465272</t>
  </si>
  <si>
    <t>02-050-0484429</t>
  </si>
  <si>
    <t>Oct  5 2025 12:49AM</t>
  </si>
  <si>
    <t>لا50529573</t>
  </si>
  <si>
    <t>أسماء ساليس  عمر</t>
  </si>
  <si>
    <t>INV025352773</t>
  </si>
  <si>
    <t>1968-05-15</t>
  </si>
  <si>
    <t>7042808099</t>
  </si>
  <si>
    <t>02-050-0485086</t>
  </si>
  <si>
    <t>Oct  5 2025  1:47PM</t>
  </si>
  <si>
    <t>2440722151</t>
  </si>
  <si>
    <t>عبدالاله بابكر عبدالله عبدالرحيم</t>
  </si>
  <si>
    <t>INV025353219</t>
  </si>
  <si>
    <t>566636274</t>
  </si>
  <si>
    <t>02-050-0485506</t>
  </si>
  <si>
    <t>Oct  6 2025  8:16AM</t>
  </si>
  <si>
    <t>2502201250</t>
  </si>
  <si>
    <t>عامر محمد علي محمد احمد</t>
  </si>
  <si>
    <t>INV025353263</t>
  </si>
  <si>
    <t>530649474</t>
  </si>
  <si>
    <t>02-050-0485566</t>
  </si>
  <si>
    <t>Oct  6 2025  8:44AM</t>
  </si>
  <si>
    <t>2506127576</t>
  </si>
  <si>
    <t>الخير على بله ابراهيم</t>
  </si>
  <si>
    <t>INV025353386</t>
  </si>
  <si>
    <t>560275404</t>
  </si>
  <si>
    <t>02-050-0485715,02-050-0485722</t>
  </si>
  <si>
    <t>Oct  6 2025  9:48AM,Oct  6 2025  9:52AM</t>
  </si>
  <si>
    <t>us2741281</t>
  </si>
  <si>
    <t>WALI ULLAH   AHMAD DIN</t>
  </si>
  <si>
    <t>INV025354094</t>
  </si>
  <si>
    <t>559305740</t>
  </si>
  <si>
    <t>02-050-0486475</t>
  </si>
  <si>
    <t>Oct  7 2025  7:41AM</t>
  </si>
  <si>
    <t>2497578126</t>
  </si>
  <si>
    <t>سيف الدين محمد موسى محمد</t>
  </si>
  <si>
    <t>INV025354774</t>
  </si>
  <si>
    <t>502726425</t>
  </si>
  <si>
    <t>02-050-0487038</t>
  </si>
  <si>
    <t>Oct  7 2025  1:33PM</t>
  </si>
  <si>
    <t>B02219645</t>
  </si>
  <si>
    <t>SAADATU ABDULLAHI  ABDULLAHI</t>
  </si>
  <si>
    <t>INV025354809</t>
  </si>
  <si>
    <t>1950-01-21</t>
  </si>
  <si>
    <t>553895823</t>
  </si>
  <si>
    <t>Vomiting,Fever&gt;= 38,intense headache</t>
  </si>
  <si>
    <t>Oct  6 2025 12:00AM,Oct  5 2025 12:00AM,Oct  5 2025 12:00AM</t>
  </si>
  <si>
    <t>02-050-0487073,02-050-0487077</t>
  </si>
  <si>
    <t>Oct  7 2025  1:56PM,Oct  7 2025  2:01PM</t>
  </si>
  <si>
    <t>BO4433142</t>
  </si>
  <si>
    <t>Atika Adamu  Adamu</t>
  </si>
  <si>
    <t>INV025355043</t>
  </si>
  <si>
    <t>مكرره - خبيثة</t>
  </si>
  <si>
    <t>545781085</t>
  </si>
  <si>
    <t>02-050-0487300,02-050-0487305</t>
  </si>
  <si>
    <t>Oct  7 2025  5:52PM,Oct  7 2025  5:55PM</t>
  </si>
  <si>
    <t>EQ1393419</t>
  </si>
  <si>
    <t>MEDINA   SHEWMOLO SHOR</t>
  </si>
  <si>
    <t>INV025355182</t>
  </si>
  <si>
    <t>1998-10-22</t>
  </si>
  <si>
    <t>540098981</t>
  </si>
  <si>
    <t>02-050-0487450,02-050-0487453</t>
  </si>
  <si>
    <t>Oct  8 2025  8:22AM,Oct  8 2025  8:23AM</t>
  </si>
  <si>
    <t>P09570244</t>
  </si>
  <si>
    <t>HESHAM AWAD   ALLA MOHAMMED</t>
  </si>
  <si>
    <t>INV025355198</t>
  </si>
  <si>
    <t>1982-09-17</t>
  </si>
  <si>
    <t>550315881</t>
  </si>
  <si>
    <t>02-050-0487442,02-050-0487445</t>
  </si>
  <si>
    <t>Oct  8 2025  8:17AM,Oct  8 2025  8:19AM</t>
  </si>
  <si>
    <t>2498040324</t>
  </si>
  <si>
    <t>عبدالقادر الامام عبدالقادر عبدالله</t>
  </si>
  <si>
    <t>INV025355304</t>
  </si>
  <si>
    <t>583569107</t>
  </si>
  <si>
    <t>02-050-0487597</t>
  </si>
  <si>
    <t>Oct  8 2025  9:33AM</t>
  </si>
  <si>
    <t>2531045959</t>
  </si>
  <si>
    <t>محمد عبد الله بشاره حميده</t>
  </si>
  <si>
    <t>INV025356610</t>
  </si>
  <si>
    <t>593983719</t>
  </si>
  <si>
    <t>02-050-0488886</t>
  </si>
  <si>
    <t>Oct  9 2025 12:53PM</t>
  </si>
  <si>
    <t>2147606889</t>
  </si>
  <si>
    <t>عيسي عمر  محمد</t>
  </si>
  <si>
    <t>INV025356612</t>
  </si>
  <si>
    <t>1986-09-05</t>
  </si>
  <si>
    <t>563463762</t>
  </si>
  <si>
    <t>02-050-0488893,02-050-0488900</t>
  </si>
  <si>
    <t>Oct  9 2025 12:59PM,Oct  9 2025  1:01PM</t>
  </si>
  <si>
    <t>FS2225431</t>
  </si>
  <si>
    <t>IREM   UMAR</t>
  </si>
  <si>
    <t>INV025357372</t>
  </si>
  <si>
    <t>1992-12-14</t>
  </si>
  <si>
    <t>597325948</t>
  </si>
  <si>
    <t>02-050-0489633</t>
  </si>
  <si>
    <t>Oct 11 2025  8:00PM</t>
  </si>
  <si>
    <t>FF5194905</t>
  </si>
  <si>
    <t>ASADALLAH   SHAIKH</t>
  </si>
  <si>
    <t>INV025357457</t>
  </si>
  <si>
    <t>1978-01-01</t>
  </si>
  <si>
    <t>47</t>
  </si>
  <si>
    <t>575715389</t>
  </si>
  <si>
    <t>02-050-0489684</t>
  </si>
  <si>
    <t>Oct 12 2025  7:42AM</t>
  </si>
  <si>
    <t>2561346566</t>
  </si>
  <si>
    <t>رشيد خان  خميسة</t>
  </si>
  <si>
    <t>INV025357462</t>
  </si>
  <si>
    <t>1999-07-05</t>
  </si>
  <si>
    <t>592644519</t>
  </si>
  <si>
    <t>02-050-0489694</t>
  </si>
  <si>
    <t>Oct 12 2025  7:48AM</t>
  </si>
  <si>
    <t>2566263899</t>
  </si>
  <si>
    <t>ماساما دوفونسو  دجاني</t>
  </si>
  <si>
    <t>INV025357467</t>
  </si>
  <si>
    <t>1999-12-09</t>
  </si>
  <si>
    <t>596700859</t>
  </si>
  <si>
    <t>02-050-0489702</t>
  </si>
  <si>
    <t>Oct 12 2025  7:54AM</t>
  </si>
  <si>
    <t>6147594750</t>
  </si>
  <si>
    <t>HALEEMA AOSMAN  AOSMAN</t>
  </si>
  <si>
    <t>INV025357473</t>
  </si>
  <si>
    <t>2001-01-01</t>
  </si>
  <si>
    <t>542456780</t>
  </si>
  <si>
    <t>02-050-0489708</t>
  </si>
  <si>
    <t>Oct 12 2025  8:00AM</t>
  </si>
  <si>
    <t>510105265</t>
  </si>
  <si>
    <t>احمد   محمد</t>
  </si>
  <si>
    <t>INV025357688</t>
  </si>
  <si>
    <t>تم فقد المتابعة</t>
  </si>
  <si>
    <t>مجمع عيادات فرع شركة العبير العالمية الطبية المحدودة</t>
  </si>
  <si>
    <t>مركز النصر للرعاية الصحية الأولية</t>
  </si>
  <si>
    <t>1983-10-10</t>
  </si>
  <si>
    <t>000000000000</t>
  </si>
  <si>
    <t>02-050-0489927</t>
  </si>
  <si>
    <t>Oct 12 2025  9:43AM</t>
  </si>
  <si>
    <t>2535306639</t>
  </si>
  <si>
    <t>زيد عزيز عبد العزيز</t>
  </si>
  <si>
    <t>INV025357717</t>
  </si>
  <si>
    <t>1999-01-04</t>
  </si>
  <si>
    <t>506474155</t>
  </si>
  <si>
    <t>02-050-0489942</t>
  </si>
  <si>
    <t>Oct 12 2025  9:49AM</t>
  </si>
  <si>
    <t>3572834277</t>
  </si>
  <si>
    <t>INV025357956</t>
  </si>
  <si>
    <t>مركز الرعاية الصحية الأولية البلينية</t>
  </si>
  <si>
    <t>1997-02-03</t>
  </si>
  <si>
    <t>543963901</t>
  </si>
  <si>
    <t>02-050-0490191</t>
  </si>
  <si>
    <t>Oct 12 2025 11:12AM</t>
  </si>
  <si>
    <t>B02685348</t>
  </si>
  <si>
    <t>BINTA   ABDULLAHI</t>
  </si>
  <si>
    <t>INV025358481</t>
  </si>
  <si>
    <t>1970-06-13</t>
  </si>
  <si>
    <t>590974485</t>
  </si>
  <si>
    <t>02-050-0490679</t>
  </si>
  <si>
    <t>Oct 13 2025  8:18AM</t>
  </si>
  <si>
    <t>2497762803</t>
  </si>
  <si>
    <t>على عبد الغني على ادريس</t>
  </si>
  <si>
    <t>INV025359049</t>
  </si>
  <si>
    <t>533455103</t>
  </si>
  <si>
    <t>02-050-0491087</t>
  </si>
  <si>
    <t>Oct 13 2025 12:49PM</t>
  </si>
  <si>
    <t>AB077136</t>
  </si>
  <si>
    <t>امي   امينتوا</t>
  </si>
  <si>
    <t>INV025359193</t>
  </si>
  <si>
    <t>2008-01-03</t>
  </si>
  <si>
    <t>597349130</t>
  </si>
  <si>
    <t>02-050-0491162</t>
  </si>
  <si>
    <t>Oct 13 2025  2:11PM</t>
  </si>
  <si>
    <t>AK086127</t>
  </si>
  <si>
    <t>JANES MORAA MORAA MORAA</t>
  </si>
  <si>
    <t>INV025359704</t>
  </si>
  <si>
    <t>1993-03-25</t>
  </si>
  <si>
    <t>505363858</t>
  </si>
  <si>
    <t>02-050-0491611</t>
  </si>
  <si>
    <t>Oct 14 2025  9:24AM</t>
  </si>
  <si>
    <t>EQ2173905</t>
  </si>
  <si>
    <t>سليمان محمود سراج سليمان</t>
  </si>
  <si>
    <t>INV025360009</t>
  </si>
  <si>
    <t>02-050-0492017</t>
  </si>
  <si>
    <t>Oct 14 2025 12:23PM</t>
  </si>
  <si>
    <t>2458155823</t>
  </si>
  <si>
    <t>عبدالله   صافى</t>
  </si>
  <si>
    <t>INV025360180</t>
  </si>
  <si>
    <t>1997-01-06</t>
  </si>
  <si>
    <t>592715193</t>
  </si>
  <si>
    <t>02-050-0492109</t>
  </si>
  <si>
    <t>Oct 14 2025  1:27PM</t>
  </si>
  <si>
    <t>A13104589</t>
  </si>
  <si>
    <t>ابوبكر   باتشا</t>
  </si>
  <si>
    <t>INV025361197</t>
  </si>
  <si>
    <t>566179399</t>
  </si>
  <si>
    <t>Vomiting,صداع ,Nausea, intermittent Fever</t>
  </si>
  <si>
    <t>Oct 10 2025 12:00AM,Oct 10 2025 12:00AM,Oct 10 2025 12:00AM,Oct 10 2025 12:00AM</t>
  </si>
  <si>
    <t>02-050-0493111</t>
  </si>
  <si>
    <t>Oct 15 2025  2:39PM</t>
  </si>
  <si>
    <t>YW4107162</t>
  </si>
  <si>
    <t>KHAN   KALAM</t>
  </si>
  <si>
    <t>INV025363641</t>
  </si>
  <si>
    <t>1981-01-01</t>
  </si>
  <si>
    <t>577268412</t>
  </si>
  <si>
    <t>02-050-0495489</t>
  </si>
  <si>
    <t>Oct 19 2025 11:57AM</t>
  </si>
  <si>
    <t>R1174673</t>
  </si>
  <si>
    <t>عاصم جافيد  صديقي</t>
  </si>
  <si>
    <t>INV025364102</t>
  </si>
  <si>
    <t>1994-08-20</t>
  </si>
  <si>
    <t>509526456</t>
  </si>
  <si>
    <t>02-050-0495945</t>
  </si>
  <si>
    <t>Oct 19 2025  3:00PM</t>
  </si>
  <si>
    <t>P13244009</t>
  </si>
  <si>
    <t>ASMAR GEBREEL AHMED MOHAM   AHMED MOHAM</t>
  </si>
  <si>
    <t>INV025364644</t>
  </si>
  <si>
    <t>590731806</t>
  </si>
  <si>
    <t>02-050-0496727,02-050-0496732</t>
  </si>
  <si>
    <t>Oct 20 2025 10:08AM,Oct 20 2025 10:09AM</t>
  </si>
  <si>
    <t>4425874866</t>
  </si>
  <si>
    <t>زييني   ماهاميد</t>
  </si>
  <si>
    <t>INV025366297</t>
  </si>
  <si>
    <t>1983-12-31</t>
  </si>
  <si>
    <t>مالي</t>
  </si>
  <si>
    <t>02-050-0498426</t>
  </si>
  <si>
    <t>Oct 21 2025  2:03PM</t>
  </si>
  <si>
    <t>2331505236</t>
  </si>
  <si>
    <t>علي ادم محمد حسين</t>
  </si>
  <si>
    <t>INV025366845</t>
  </si>
  <si>
    <t>545873615</t>
  </si>
  <si>
    <t>02-050-0499057</t>
  </si>
  <si>
    <t>Oct 22 2025 10:01AM</t>
  </si>
  <si>
    <t>P12820181</t>
  </si>
  <si>
    <t>AYMAN   OMAR ALI ABD ELRAHM</t>
  </si>
  <si>
    <t>INV025367625</t>
  </si>
  <si>
    <t>2011-10-16</t>
  </si>
  <si>
    <t>533285241</t>
  </si>
  <si>
    <t>P13042638</t>
  </si>
  <si>
    <t>MONA   BAKHEET</t>
  </si>
  <si>
    <t>INV025367997</t>
  </si>
  <si>
    <t>2025-10-01</t>
  </si>
  <si>
    <t>0</t>
  </si>
  <si>
    <t>547381824</t>
  </si>
  <si>
    <t>Oct 21 2025 12:00AM</t>
  </si>
  <si>
    <t>02-050-0500252</t>
  </si>
  <si>
    <t>Oct 23 2025 11:17AM</t>
  </si>
  <si>
    <t>2407155940</t>
  </si>
  <si>
    <t>ابوزيد احمد ادم محمد</t>
  </si>
  <si>
    <t>INV025371180</t>
  </si>
  <si>
    <t>590951273</t>
  </si>
  <si>
    <t>02-050-0503376</t>
  </si>
  <si>
    <t>Oct 27 2025  9:48AM</t>
  </si>
  <si>
    <t>gf2224361</t>
  </si>
  <si>
    <t>محمد   عمر</t>
  </si>
  <si>
    <t>INV025373084</t>
  </si>
  <si>
    <t>2020-10-05</t>
  </si>
  <si>
    <t>5</t>
  </si>
  <si>
    <t>503252307</t>
  </si>
  <si>
    <t>02-050-0505368</t>
  </si>
  <si>
    <t>Oct 28 2025  3:31PM</t>
  </si>
  <si>
    <t>3584950947</t>
  </si>
  <si>
    <t>INV025374412</t>
  </si>
  <si>
    <t>مجمع  سما الطبي</t>
  </si>
  <si>
    <t>580420294</t>
  </si>
  <si>
    <t>3786728</t>
  </si>
  <si>
    <t>مديحه بشير بشير بشير</t>
  </si>
  <si>
    <t>INV025374453</t>
  </si>
  <si>
    <t>2002-08-10</t>
  </si>
  <si>
    <t>564310237</t>
  </si>
  <si>
    <t>02-050-0506765</t>
  </si>
  <si>
    <t>Oct 30 2025  7:32AM</t>
  </si>
  <si>
    <t>P1294665</t>
  </si>
  <si>
    <t>عرفه يعقوب جاد المولى</t>
  </si>
  <si>
    <t>INV025374725</t>
  </si>
  <si>
    <t>مركز الرعاية الصحية الاولية بستارة</t>
  </si>
  <si>
    <t>2000-06-01</t>
  </si>
  <si>
    <t>545561005</t>
  </si>
  <si>
    <t>02-050-0507042</t>
  </si>
  <si>
    <t>Oct 30 2025 10:14AM</t>
  </si>
  <si>
    <t>2147549030</t>
  </si>
  <si>
    <t>عبدالمنعم عادل محمد علي</t>
  </si>
  <si>
    <t>INV025376670</t>
  </si>
  <si>
    <t>مركز صحي الشبحه</t>
  </si>
  <si>
    <t>المديرية العامة للشؤون الصحية بمنطقة تبوك</t>
  </si>
  <si>
    <t>557197556</t>
  </si>
  <si>
    <t>02-050-0508831</t>
  </si>
  <si>
    <t>Nov  2 2025 10:52AM</t>
  </si>
  <si>
    <t>A12579325</t>
  </si>
  <si>
    <t>يوسف عبدالله  يوسف</t>
  </si>
  <si>
    <t>INV025376892</t>
  </si>
  <si>
    <t>1976-06-06</t>
  </si>
  <si>
    <t>522588565</t>
  </si>
  <si>
    <t>02-050-0509054</t>
  </si>
  <si>
    <t>Nov  2 2025 11:55AM</t>
  </si>
  <si>
    <t>P12853271</t>
  </si>
  <si>
    <t>BATOL   ABASS</t>
  </si>
  <si>
    <t>INV025377768</t>
  </si>
  <si>
    <t>1991-04-06</t>
  </si>
  <si>
    <t>548082931</t>
  </si>
  <si>
    <t>Oct 26 2025 12:00AM,Oct 26 2025 12:00AM</t>
  </si>
  <si>
    <t>02-050-0510016</t>
  </si>
  <si>
    <t>Nov  3 2025  9:19AM</t>
  </si>
  <si>
    <t>2449542675</t>
  </si>
  <si>
    <t>حسين الخضر الحاج محمد</t>
  </si>
  <si>
    <t>INV025378410</t>
  </si>
  <si>
    <t>1961-12-06</t>
  </si>
  <si>
    <t>536703202</t>
  </si>
  <si>
    <t>02-050-0510785</t>
  </si>
  <si>
    <t>Nov  3 2025  3:04PM</t>
  </si>
  <si>
    <t>1106490988</t>
  </si>
  <si>
    <t>عماد سلامه  الذبياني</t>
  </si>
  <si>
    <t>INV025378438</t>
  </si>
  <si>
    <t>1999-12-27</t>
  </si>
  <si>
    <t>538309569</t>
  </si>
  <si>
    <t>02-050-0510782</t>
  </si>
  <si>
    <t>Nov  3 2025  3:01PM</t>
  </si>
  <si>
    <t>سعود حضرم خضر البلوي</t>
  </si>
  <si>
    <t>INV025380383</t>
  </si>
  <si>
    <t>1992-11-20</t>
  </si>
  <si>
    <t>532281940</t>
  </si>
  <si>
    <t>02-050-0512843</t>
  </si>
  <si>
    <t>Nov  5 2025 11:23AM</t>
  </si>
  <si>
    <t>2469614818</t>
  </si>
  <si>
    <t>محمد كاشف فقير محمد</t>
  </si>
  <si>
    <t>INV025380467</t>
  </si>
  <si>
    <t>مركز صحي ادمان</t>
  </si>
  <si>
    <t>1996-03-31</t>
  </si>
  <si>
    <t>599427435</t>
  </si>
  <si>
    <t>02-050-0512931</t>
  </si>
  <si>
    <t>Nov  5 2025 12:01PM</t>
  </si>
  <si>
    <t>C8935941</t>
  </si>
  <si>
    <t>Abdul Rhim  Mehboob</t>
  </si>
  <si>
    <t>INV025381085</t>
  </si>
  <si>
    <t>1955-05-05</t>
  </si>
  <si>
    <t>506417116</t>
  </si>
  <si>
    <t>02-050-0513601</t>
  </si>
  <si>
    <t>Nov  6 2025  8:50AM</t>
  </si>
  <si>
    <t>2464234661</t>
  </si>
  <si>
    <t>عمر حسن محمد الحاج</t>
  </si>
  <si>
    <t>INV025383239</t>
  </si>
  <si>
    <t>578471786</t>
  </si>
  <si>
    <t>02-050-0515754</t>
  </si>
  <si>
    <t>Nov  9 2025 10:37AM</t>
  </si>
  <si>
    <t>2442773061</t>
  </si>
  <si>
    <t>فخر الدين محمد عبدالله ابراهيم</t>
  </si>
  <si>
    <t>INV025386356</t>
  </si>
  <si>
    <t>منطقة المدينة المنورة</t>
  </si>
  <si>
    <t>1975-01-01</t>
  </si>
  <si>
    <t>555315652</t>
  </si>
  <si>
    <t>حمى ,Nausea,Myalgia</t>
  </si>
  <si>
    <t>Oct 25 2025 12:00AM,Oct 25 2025 12:00AM,Oct 25 2025 12:00AM</t>
  </si>
  <si>
    <t>02-050-0518905</t>
  </si>
  <si>
    <t>Nov 12 2025  8:20AM</t>
  </si>
  <si>
    <t>2494436765</t>
  </si>
  <si>
    <t>الامين محمد احمد البدوي</t>
  </si>
  <si>
    <t>INV025387529</t>
  </si>
  <si>
    <t>557303097</t>
  </si>
  <si>
    <t>02-050-0520157,02-050-0520192</t>
  </si>
  <si>
    <t>Nov 13 2025  9:05AM,Nov 13 2025  9:19AM</t>
  </si>
  <si>
    <t>P09265447</t>
  </si>
  <si>
    <t>محمد عبدالرحمن عثمان سر</t>
  </si>
  <si>
    <t>INV025387567</t>
  </si>
  <si>
    <t>510520660</t>
  </si>
  <si>
    <t>02-050-0520114,02-050-0520123</t>
  </si>
  <si>
    <t>Nov 13 2025  8:42AM,Nov 13 2025  8:46AM</t>
  </si>
  <si>
    <t>B01753870</t>
  </si>
  <si>
    <t>رفاعي   ناصر</t>
  </si>
  <si>
    <t>INV025388619</t>
  </si>
  <si>
    <t>1992-07-22</t>
  </si>
  <si>
    <t>549259373</t>
  </si>
  <si>
    <t>Nov 15 2025 12:00AM</t>
  </si>
  <si>
    <t>02-050-0521067</t>
  </si>
  <si>
    <t>Nov 15 2025  4:22AM</t>
  </si>
  <si>
    <t>P11256202</t>
  </si>
  <si>
    <t>احمد حبيب الله احمد عبدالله</t>
  </si>
  <si>
    <t>INV025389198</t>
  </si>
  <si>
    <t>532952147</t>
  </si>
  <si>
    <t>Nov 22 2025 12:00AM</t>
  </si>
  <si>
    <t>Nov 11 2025 12:00AM</t>
  </si>
  <si>
    <t>02-050-0522023,02-050-0522025</t>
  </si>
  <si>
    <t>Nov 16 2025 11:05AM,Nov 16 2025 11:06AM</t>
  </si>
  <si>
    <t>6152886258</t>
  </si>
  <si>
    <t>AHMED   MOHAMMED</t>
  </si>
  <si>
    <t>INV025389210</t>
  </si>
  <si>
    <t>1981-10-24</t>
  </si>
  <si>
    <t>568572168</t>
  </si>
  <si>
    <t>02-050-0521642</t>
  </si>
  <si>
    <t>Nov 16 2025  8:56AM</t>
  </si>
  <si>
    <t>2483331399</t>
  </si>
  <si>
    <t>انس ابراهيم نعيم ابراهيم</t>
  </si>
  <si>
    <t>INV025390095</t>
  </si>
  <si>
    <t>508240268</t>
  </si>
  <si>
    <t>02-050-0522474</t>
  </si>
  <si>
    <t>Nov 16 2025  2:31PM</t>
  </si>
  <si>
    <t>2327587479</t>
  </si>
  <si>
    <t>قصي الياقوت محمد بادي</t>
  </si>
  <si>
    <t>INV025390136</t>
  </si>
  <si>
    <t>508351302</t>
  </si>
  <si>
    <t>02-050-0522505</t>
  </si>
  <si>
    <t>Nov 16 2025  2:43PM</t>
  </si>
  <si>
    <t>EQ2572118</t>
  </si>
  <si>
    <t>كريمه محمد محمد محمد</t>
  </si>
  <si>
    <t>INV025390582</t>
  </si>
  <si>
    <t>مركز صحي البدراني</t>
  </si>
  <si>
    <t>553213387</t>
  </si>
  <si>
    <t>Nov 23 2025 12:00AM</t>
  </si>
  <si>
    <t>02-050-0522944,02-050-0522947</t>
  </si>
  <si>
    <t>Nov 17 2025  8:51AM,Nov 17 2025  8:54AM</t>
  </si>
  <si>
    <t>2002297089</t>
  </si>
  <si>
    <t>محمود   فضل خان</t>
  </si>
  <si>
    <t>INV025393370</t>
  </si>
  <si>
    <t>الخدمات الصحية بمدينة العلا</t>
  </si>
  <si>
    <t>1968-07-01</t>
  </si>
  <si>
    <t>504304698</t>
  </si>
  <si>
    <t>Nov 24 2025 12:00AM</t>
  </si>
  <si>
    <t>02-050-0525720</t>
  </si>
  <si>
    <t>Nov 19 2025  2:35PM</t>
  </si>
  <si>
    <t>B04057582</t>
  </si>
  <si>
    <t>Sharifa   Abdulkadir</t>
  </si>
  <si>
    <t>INV025393565</t>
  </si>
  <si>
    <t>مركز السلام للرعاية الصحية الأولية</t>
  </si>
  <si>
    <t>583798630</t>
  </si>
  <si>
    <t>2289821981</t>
  </si>
  <si>
    <t>محمد البشير ناصر البشير</t>
  </si>
  <si>
    <t>INV025394290</t>
  </si>
  <si>
    <t>530125195</t>
  </si>
  <si>
    <t>02-050-0526630</t>
  </si>
  <si>
    <t>Nov 20 2025  2:18PM</t>
  </si>
  <si>
    <t>INV025395259</t>
  </si>
  <si>
    <t>مركز الاصيفرين</t>
  </si>
  <si>
    <t>02-050-0527494</t>
  </si>
  <si>
    <t>Nov 23 2025  8:25AM</t>
  </si>
  <si>
    <t>EQ199164</t>
  </si>
  <si>
    <t>Usman sayed  Ali</t>
  </si>
  <si>
    <t>INV025396592</t>
  </si>
  <si>
    <t>1999-12-21</t>
  </si>
  <si>
    <t>599018704</t>
  </si>
  <si>
    <t>Nov 20 2025 12:00AM</t>
  </si>
  <si>
    <t>02-050-0528793</t>
  </si>
  <si>
    <t>Nov 24 2025  8:25AM</t>
  </si>
  <si>
    <t>EQ2873983</t>
  </si>
  <si>
    <t>باهر احمد  عثمان</t>
  </si>
  <si>
    <t>INV025396744</t>
  </si>
  <si>
    <t>2001-08-26</t>
  </si>
  <si>
    <t>556624626</t>
  </si>
  <si>
    <t>02-050-0528969</t>
  </si>
  <si>
    <t>Nov 24 2025  9:32AM</t>
  </si>
  <si>
    <t>B03013536</t>
  </si>
  <si>
    <t>عبدالله موسى موسى كابو</t>
  </si>
  <si>
    <t>INV025397027</t>
  </si>
  <si>
    <t>2006-10-22</t>
  </si>
  <si>
    <t>539680449</t>
  </si>
  <si>
    <t>Nov 27 2025 12:00AM</t>
  </si>
  <si>
    <t>Nov 25 2025 12:00AM</t>
  </si>
  <si>
    <t>02-050-0529208</t>
  </si>
  <si>
    <t>Nov 24 2025 11:10AM</t>
  </si>
  <si>
    <t>EQ2570960</t>
  </si>
  <si>
    <t>Kedir   Yimer</t>
  </si>
  <si>
    <t>INV025397845</t>
  </si>
  <si>
    <t>2000-02-15</t>
  </si>
  <si>
    <t>554355838</t>
  </si>
  <si>
    <t>02-050-0532998</t>
  </si>
  <si>
    <t>Nov 30 2025  9:31AM</t>
  </si>
  <si>
    <t>EQ2842346</t>
  </si>
  <si>
    <t>Zinashi Mamo  Mache</t>
  </si>
  <si>
    <t>INV025398841</t>
  </si>
  <si>
    <t>1994-06-17</t>
  </si>
  <si>
    <t>500548895</t>
  </si>
  <si>
    <t>02-050-0530959,02-050-0530962</t>
  </si>
  <si>
    <t>Nov 26 2025 11:18AM,Nov 26 2025 11:22AM</t>
  </si>
  <si>
    <t>EQ1610172</t>
  </si>
  <si>
    <t>محب   نسرو</t>
  </si>
  <si>
    <t>INV025400463</t>
  </si>
  <si>
    <t>مركز صحي الواسطة</t>
  </si>
  <si>
    <t>1997-05-23</t>
  </si>
  <si>
    <t>567705051</t>
  </si>
  <si>
    <t>02-050-0532545</t>
  </si>
  <si>
    <t>Nov 29 2025 12:35PM</t>
  </si>
  <si>
    <t>2619959188</t>
  </si>
  <si>
    <t>جبري   جبري</t>
  </si>
  <si>
    <t>INV025401021</t>
  </si>
  <si>
    <t>1999-10-31</t>
  </si>
  <si>
    <t>532791268</t>
  </si>
  <si>
    <t>02-050-0533017,02-050-0533205</t>
  </si>
  <si>
    <t>Nov 30 2025  9:39AM,Nov 30 2025 10:43AM</t>
  </si>
  <si>
    <t>1030977712</t>
  </si>
  <si>
    <t>غزوى حميدان محمد الحربي</t>
  </si>
  <si>
    <t>INV025401314</t>
  </si>
  <si>
    <t>مركز الرعايةالصحية الاولية بالفقير</t>
  </si>
  <si>
    <t>1961-12-08</t>
  </si>
  <si>
    <t>533937634</t>
  </si>
  <si>
    <t>02-050-0533286</t>
  </si>
  <si>
    <t>Nov 30 2025 11:08AM</t>
  </si>
  <si>
    <t>EQ1259069</t>
  </si>
  <si>
    <t>رحمه   عبدالله</t>
  </si>
  <si>
    <t>INV025401561</t>
  </si>
  <si>
    <t>1999-01-28</t>
  </si>
  <si>
    <t>509289068</t>
  </si>
  <si>
    <t>02-050-0533505</t>
  </si>
  <si>
    <t>Nov 30 2025  1:02PM</t>
  </si>
  <si>
    <t>EQ2431703</t>
  </si>
  <si>
    <t>Kmid Zemesha  Zemesha</t>
  </si>
  <si>
    <t>INV025402211</t>
  </si>
  <si>
    <t>2002-11-01</t>
  </si>
  <si>
    <t>557434392</t>
  </si>
  <si>
    <t>Vomiting,Nausea,Fatigue</t>
  </si>
  <si>
    <t>Dec  1 2025 12:00AM,Dec  1 2025 12:00AM,Dec  1 2025 12:00AM</t>
  </si>
  <si>
    <t>02-050-0534157</t>
  </si>
  <si>
    <t>Dec  1 2025  8:47AM</t>
  </si>
  <si>
    <t>2516342694</t>
  </si>
  <si>
    <t>الصديق ادم ابكر عثمان</t>
  </si>
  <si>
    <t>INV025402227</t>
  </si>
  <si>
    <t>مركز شجوى للرعاية الصحية الاولية</t>
  </si>
  <si>
    <t>558781924</t>
  </si>
  <si>
    <t>صداع , intermittent Fever</t>
  </si>
  <si>
    <t>Dec  1 2025 12:00AM,Dec  1 2025 12:00AM</t>
  </si>
  <si>
    <t>02-050-0534177,02-050-0534180</t>
  </si>
  <si>
    <t>Dec  1 2025  8:53AM,Dec  1 2025  8:54AM</t>
  </si>
  <si>
    <t>EQ2790683</t>
  </si>
  <si>
    <t>خديجه حسين  حسين</t>
  </si>
  <si>
    <t>INV025402379</t>
  </si>
  <si>
    <t>1998-08-12</t>
  </si>
  <si>
    <t>531310788</t>
  </si>
  <si>
    <t>02-050-0534350</t>
  </si>
  <si>
    <t>Dec  1 2025  9:58AM</t>
  </si>
  <si>
    <t>2553654571</t>
  </si>
  <si>
    <t>جيهان زيب   مير كلام</t>
  </si>
  <si>
    <t>INV025402411</t>
  </si>
  <si>
    <t>2002-03-05</t>
  </si>
  <si>
    <t>580497291</t>
  </si>
  <si>
    <t>02-050-0534363</t>
  </si>
  <si>
    <t>Dec  1 2025 10:03AM</t>
  </si>
  <si>
    <t>2616235228</t>
  </si>
  <si>
    <t>محمد صموئيل  الاسلام</t>
  </si>
  <si>
    <t>INV025402431</t>
  </si>
  <si>
    <t>2004-04-02</t>
  </si>
  <si>
    <t>بنجلاديش</t>
  </si>
  <si>
    <t>571722455</t>
  </si>
  <si>
    <t>Nov 28 2025 12:00AM</t>
  </si>
  <si>
    <t>02-050-0534523</t>
  </si>
  <si>
    <t>Dec  1 2025 10:59AM</t>
  </si>
  <si>
    <t>6144749303</t>
  </si>
  <si>
    <t>فاطمة احمد محمد احمد</t>
  </si>
  <si>
    <t>INV025403114</t>
  </si>
  <si>
    <t>2005-06-01</t>
  </si>
  <si>
    <t>543166681</t>
  </si>
  <si>
    <t>02-050-0535087</t>
  </si>
  <si>
    <t>Dec  2 2025  4:20AM</t>
  </si>
  <si>
    <t>61492323071</t>
  </si>
  <si>
    <t>فيتيل   ابا</t>
  </si>
  <si>
    <t>INV025404588</t>
  </si>
  <si>
    <t>2002-11-26</t>
  </si>
  <si>
    <t>594931383</t>
  </si>
  <si>
    <t>02-050-0536665</t>
  </si>
  <si>
    <t>Dec  3 2025  1:33PM</t>
  </si>
  <si>
    <t>GJ6272751</t>
  </si>
  <si>
    <t>Safa   Hammad</t>
  </si>
  <si>
    <t>INV025404921</t>
  </si>
  <si>
    <t>2007-02-07</t>
  </si>
  <si>
    <t>542337711</t>
  </si>
  <si>
    <t>02-050-0536981</t>
  </si>
  <si>
    <t>Dec  4 2025  2:14AM</t>
  </si>
  <si>
    <t>2499405112</t>
  </si>
  <si>
    <t>علي بابكر بشير علي</t>
  </si>
  <si>
    <t>INV025406603</t>
  </si>
  <si>
    <t>548959925</t>
  </si>
  <si>
    <t>02-050-0538795</t>
  </si>
  <si>
    <t>Dec  7 2025 10:33AM</t>
  </si>
  <si>
    <t>P12974773</t>
  </si>
  <si>
    <t>فدوى خلف الله  عليان</t>
  </si>
  <si>
    <t>INV025406991</t>
  </si>
  <si>
    <t>1994-10-24</t>
  </si>
  <si>
    <t>535192453</t>
  </si>
  <si>
    <t>02-050-0538949</t>
  </si>
  <si>
    <t>Dec  7 2025 11:32AM</t>
  </si>
  <si>
    <t>T4639991</t>
  </si>
  <si>
    <t>Nikesh Arjun  Solanki</t>
  </si>
  <si>
    <t>INV025407778</t>
  </si>
  <si>
    <t>1983-09-23</t>
  </si>
  <si>
    <t>Dec  8 2025 12:00AM,Dec  8 2025 12:00AM</t>
  </si>
  <si>
    <t>02-050-0539774</t>
  </si>
  <si>
    <t>Dec  8 2025  9:22AM</t>
  </si>
  <si>
    <t>AD1606133</t>
  </si>
  <si>
    <t>DANAL   ALI</t>
  </si>
  <si>
    <t>INV025408235</t>
  </si>
  <si>
    <t>2001-02-23</t>
  </si>
  <si>
    <t>587687761</t>
  </si>
  <si>
    <t>Dec  7 2025 12:00AM,Dec  7 2025 12:00AM</t>
  </si>
  <si>
    <t>02-050-0540310</t>
  </si>
  <si>
    <t>Dec  8 2025  1:17PM</t>
  </si>
  <si>
    <t>3794095</t>
  </si>
  <si>
    <t>ABD EL WAHAB AHMED ALI KHAIRULLAH</t>
  </si>
  <si>
    <t>INV025409251</t>
  </si>
  <si>
    <t>2017-02-13</t>
  </si>
  <si>
    <t>503295090</t>
  </si>
  <si>
    <t>02-050-0541641,02-050-0541796</t>
  </si>
  <si>
    <t>Dec 10 2025  4:21AM,Dec 10 2025  8:59AM</t>
  </si>
  <si>
    <t>P13060355</t>
  </si>
  <si>
    <t>MAREEM   SALAH ELHASSAN</t>
  </si>
  <si>
    <t>INV025410144</t>
  </si>
  <si>
    <t>2002-07-20</t>
  </si>
  <si>
    <t>532097702</t>
  </si>
  <si>
    <t>صداع , intermittent Fever,nausia</t>
  </si>
  <si>
    <t>Dec 10 2025 12:00AM,Dec 10 2025 12:00AM,Dec 10 2025 12:00AM</t>
  </si>
  <si>
    <t>02-050-0542393</t>
  </si>
  <si>
    <t>Dec 10 2025  1:55PM</t>
  </si>
  <si>
    <t>9011059745</t>
  </si>
  <si>
    <t>قيتاون   منقشه</t>
  </si>
  <si>
    <t>INV025411212</t>
  </si>
  <si>
    <t>المركز الصحي لقوى الأمن بالسجن العام بالمدينة المنورة</t>
  </si>
  <si>
    <t>2000-04-13</t>
  </si>
  <si>
    <t>02-050-0545679</t>
  </si>
  <si>
    <t>Dec 15 2025 11:46AM</t>
  </si>
  <si>
    <t>2261292631</t>
  </si>
  <si>
    <t>عباس ناجي عبيد النسري</t>
  </si>
  <si>
    <t>INV025411879</t>
  </si>
  <si>
    <t>1977-02-04</t>
  </si>
  <si>
    <t>02-050-0544727,02-050-0544734</t>
  </si>
  <si>
    <t>Dec 14 2025 12:35PM,Dec 14 2025 12:42PM</t>
  </si>
  <si>
    <t>1121811911</t>
  </si>
  <si>
    <t>نايف محمد نايف الحربي</t>
  </si>
  <si>
    <t>INV025413368</t>
  </si>
  <si>
    <t>2003-08-19</t>
  </si>
  <si>
    <t>554877003</t>
  </si>
  <si>
    <t>02-050-0545651</t>
  </si>
  <si>
    <t>Dec 15 2025 11:32AM</t>
  </si>
  <si>
    <t>وافده  من الداخل</t>
  </si>
  <si>
    <t>3583119122</t>
  </si>
  <si>
    <t>زارا هايشي  قلاتا</t>
  </si>
  <si>
    <t>INV025413398</t>
  </si>
  <si>
    <t>2622445043</t>
  </si>
  <si>
    <t>بن يامين خان موسام خان</t>
  </si>
  <si>
    <t>INV025413471</t>
  </si>
  <si>
    <t>6151974351</t>
  </si>
  <si>
    <t>MEKEYA YEMAM   YESUF</t>
  </si>
  <si>
    <t>INV025414002</t>
  </si>
  <si>
    <t>3578354965</t>
  </si>
  <si>
    <t>Dirshaye Shume  Madebo</t>
  </si>
  <si>
    <t>INV025414090</t>
  </si>
  <si>
    <t>P13255230</t>
  </si>
  <si>
    <t>MOSTEFA   AHMED</t>
  </si>
  <si>
    <t>INV025414619</t>
  </si>
  <si>
    <t>6154582329</t>
  </si>
  <si>
    <t>DILFAROZA KHAN   MUHAMMAD</t>
  </si>
  <si>
    <t>INV025416605</t>
  </si>
  <si>
    <t>EQ2165331</t>
  </si>
  <si>
    <t>Medina Demeke Getachew GETACHEW</t>
  </si>
  <si>
    <t>INV025417645</t>
  </si>
  <si>
    <t>2000-02-06</t>
  </si>
  <si>
    <t>553376904</t>
  </si>
  <si>
    <t>02-050-0549863</t>
  </si>
  <si>
    <t>Dec 21 2025 11:29AM</t>
  </si>
  <si>
    <t>1955-08-10</t>
  </si>
  <si>
    <t>501836460</t>
  </si>
  <si>
    <t>02-050-0548916</t>
  </si>
  <si>
    <t>Dec 19 2025  6:20PM</t>
  </si>
  <si>
    <t>2006-11-07</t>
  </si>
  <si>
    <t>509377819</t>
  </si>
  <si>
    <t>02-050-0546856</t>
  </si>
  <si>
    <t>Dec 16 2025  3:25PM</t>
  </si>
  <si>
    <t>مجمع العقـــيق الطبي</t>
  </si>
  <si>
    <t>1997-09-23</t>
  </si>
  <si>
    <t>561981404</t>
  </si>
  <si>
    <t>02-050-0546302</t>
  </si>
  <si>
    <t>Dec 16 2025  9:37AM</t>
  </si>
  <si>
    <t>1995-08-14</t>
  </si>
  <si>
    <t>543001030</t>
  </si>
  <si>
    <t>Dec 18 2025 12:00AM</t>
  </si>
  <si>
    <t>02-050-0546203</t>
  </si>
  <si>
    <t>Dec 16 2025  8:32AM</t>
  </si>
  <si>
    <t>501296091</t>
  </si>
  <si>
    <t>02-050-0545689</t>
  </si>
  <si>
    <t>Dec 15 2025 11:49AM</t>
  </si>
  <si>
    <t>2000-09-07</t>
  </si>
  <si>
    <t>02-050-0545643</t>
  </si>
  <si>
    <t>Dec 15 2025 11:29AM</t>
  </si>
  <si>
    <t>أنتكاسة - حميدة</t>
  </si>
  <si>
    <t>3583578970</t>
  </si>
  <si>
    <t>INV025419250</t>
  </si>
  <si>
    <t>مركز رعاية اولية الصريف</t>
  </si>
  <si>
    <t>1995-04-23</t>
  </si>
  <si>
    <t>504592599</t>
  </si>
  <si>
    <t>02-050-0551657</t>
  </si>
  <si>
    <t>Dec 22 2025  5:09PM</t>
  </si>
  <si>
    <t>6152272463</t>
  </si>
  <si>
    <t>عبدالحميد شيخ الدين  مدثر</t>
  </si>
  <si>
    <t>INV025421038</t>
  </si>
  <si>
    <t>1995-10-21</t>
  </si>
  <si>
    <t>558344583</t>
  </si>
  <si>
    <t>Jan  1 2026 12:00AM</t>
  </si>
  <si>
    <t>Vomiting,Abdominal Pain</t>
  </si>
  <si>
    <t>Dec 24 2025 12:00AM,Dec 24 2025 12:00AM</t>
  </si>
  <si>
    <t>02-050-0553435,02-050-0553877</t>
  </si>
  <si>
    <t>Dec 24 2025  1:28PM,Dec 25 2025  9:23AM</t>
  </si>
  <si>
    <t>P11077831</t>
  </si>
  <si>
    <t>HASHIM SALEH   SAEED MOHAME</t>
  </si>
  <si>
    <t>INV025422401</t>
  </si>
  <si>
    <t>71</t>
  </si>
  <si>
    <t>538418663</t>
  </si>
  <si>
    <t> intermittent Fever,chills</t>
  </si>
  <si>
    <t>02-050-0554708</t>
  </si>
  <si>
    <t>Dec 27 2025 10:16AM</t>
  </si>
  <si>
    <t>3611129168</t>
  </si>
  <si>
    <t>FATUMAH   NAZZIWA</t>
  </si>
  <si>
    <t>INV025422730</t>
  </si>
  <si>
    <t>1996-10-14</t>
  </si>
  <si>
    <t>509747108</t>
  </si>
  <si>
    <t>02-050-0555038</t>
  </si>
  <si>
    <t>Dec 27 2025 10:04PM</t>
  </si>
  <si>
    <t>INV025422893</t>
  </si>
  <si>
    <t>Dec 23 2025 12:00AM,Dec 23 2025 12:00AM</t>
  </si>
  <si>
    <t>02-050-0555277</t>
  </si>
  <si>
    <t>Dec 28 2025  9:10AM</t>
  </si>
  <si>
    <t>6155387725</t>
  </si>
  <si>
    <t>ابوالقاسم محمد خليفه علي</t>
  </si>
  <si>
    <t>INV025422969</t>
  </si>
  <si>
    <t>569432768</t>
  </si>
  <si>
    <t>02-050-0555295</t>
  </si>
  <si>
    <t>Dec 28 2025  9:18AM</t>
  </si>
  <si>
    <t>INV025422988</t>
  </si>
  <si>
    <t>Dec 21 2025 12:00AM</t>
  </si>
  <si>
    <t>02-050-0555307</t>
  </si>
  <si>
    <t>Dec 28 2025  9:26AM</t>
  </si>
  <si>
    <t>INV025423081</t>
  </si>
  <si>
    <t>حمى ,Fever&gt;= 38</t>
  </si>
  <si>
    <t>Dec 22 2025 12:00AM,Dec 28 2025 12:00AM</t>
  </si>
  <si>
    <t>02-050-0555403</t>
  </si>
  <si>
    <t>Dec 28 2025  9:53AM</t>
  </si>
  <si>
    <t>6155250689</t>
  </si>
  <si>
    <t>mohammed Ahmed  Ali</t>
  </si>
  <si>
    <t>INV025424782</t>
  </si>
  <si>
    <t>مركز صحي أحد للرعاية الصحية الأولية</t>
  </si>
  <si>
    <t>545213597</t>
  </si>
  <si>
    <t>02-050-0557113,02-050-0559108</t>
  </si>
  <si>
    <t>Dec 29 2025  2:01PM,Dec 31 2025  2:43PM</t>
  </si>
  <si>
    <t>2623002710</t>
  </si>
  <si>
    <t>احمد مصطفى محمود عثمان</t>
  </si>
  <si>
    <t>INV025424839</t>
  </si>
  <si>
    <t>1998-04-10</t>
  </si>
  <si>
    <t>558398527</t>
  </si>
  <si>
    <t>صداع ,Backache,Fatigue, intermittent Fever</t>
  </si>
  <si>
    <t>Dec 29 2025 12:00AM,Dec 29 2025 12:00AM,Dec 29 2025 12:00AM,Dec 29 2025 12:00AM</t>
  </si>
  <si>
    <t>02-050-0557172</t>
  </si>
  <si>
    <t>Dec 29 2025  2:42PM</t>
  </si>
  <si>
    <t>EQ1751527</t>
  </si>
  <si>
    <t>KEWULET SEYID  ALI</t>
  </si>
  <si>
    <t>INV025425105</t>
  </si>
  <si>
    <t>مختبر الشامل للتحاليل الطبية</t>
  </si>
  <si>
    <t>2002-06-20</t>
  </si>
  <si>
    <t>553318094</t>
  </si>
  <si>
    <t>02-050-0557407,02-050-0557930,02-050-0559411,02-050-0559534</t>
  </si>
  <si>
    <t>Dec 29 2025 10:51PM,Dec 30 2025 11:57AM,Jan  1 2026  9:14AM,Jan  1 2026 10:07AM</t>
  </si>
  <si>
    <t>6154028551</t>
  </si>
  <si>
    <t>الطيب   العاقب</t>
  </si>
  <si>
    <t>INV025425106</t>
  </si>
  <si>
    <t>537753416</t>
  </si>
  <si>
    <t>02-050-0557409</t>
  </si>
  <si>
    <t>Dec 29 2025 11:00PM</t>
  </si>
  <si>
    <t>315801390</t>
  </si>
  <si>
    <t>Lovisa   Mukyala</t>
  </si>
  <si>
    <t>INV025425562</t>
  </si>
  <si>
    <t>1990-07-06</t>
  </si>
  <si>
    <t>506338588</t>
  </si>
  <si>
    <t>02-050-0557912</t>
  </si>
  <si>
    <t>Dec 30 2025 11:33AM</t>
  </si>
  <si>
    <t>2394809483</t>
  </si>
  <si>
    <t>مصطفى موسى سليمان سالم</t>
  </si>
  <si>
    <t>INV025426265</t>
  </si>
  <si>
    <t>504630352</t>
  </si>
  <si>
    <t>Backache, intermittent Fever</t>
  </si>
  <si>
    <t>Dec 31 2025 12:00AM,Dec 31 2025 12:00AM</t>
  </si>
  <si>
    <t>02-050-0558629</t>
  </si>
  <si>
    <t>Dec 31 2025 10:02AM</t>
  </si>
  <si>
    <t>(الكل)</t>
  </si>
  <si>
    <t>(فارغ)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</si>
</sst>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;@"/>
  </numFmts>
  <fonts count="12" x14ac:knownFonts="1">
    <font>
      <sz val="11"/>
      <color theme="1"/>
      <name val="Arial"/>
      <scheme val="minor"/>
    </font>
    <font>
      <sz val="14"/>
      <color theme="1"/>
      <name val="Arial"/>
      <family val="2"/>
      <scheme val="minor"/>
    </font>
    <font>
      <b/>
      <sz val="14"/>
      <color theme="0"/>
      <name val="Arial"/>
      <family val="2"/>
      <scheme val="minor"/>
    </font>
    <font>
      <sz val="12"/>
      <color theme="1"/>
      <name val="Arial"/>
      <family val="2"/>
      <scheme val="minor"/>
    </font>
    <font>
      <b/>
      <sz val="14"/>
      <color theme="0"/>
      <name val="Arial"/>
      <family val="2"/>
      <charset val="178"/>
      <scheme val="minor"/>
    </font>
    <font>
      <sz val="14"/>
      <color theme="1"/>
      <name val="Arial"/>
      <family val="2"/>
      <charset val="178"/>
      <scheme val="minor"/>
    </font>
    <font>
      <sz val="8"/>
      <name val="Arial"/>
      <family val="2"/>
      <scheme val="minor"/>
    </font>
    <font>
      <b/>
      <sz val="14"/>
      <color theme="1"/>
      <name val="Arial"/>
      <family val="2"/>
      <scheme val="minor"/>
    </font>
    <font>
      <sz val="14"/>
      <color theme="4" tint="-0.249977111117893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9" fillId="8" borderId="13" applyNumberFormat="0" applyFont="0" applyAlignment="0" applyProtection="0"/>
  </cellStyleXfs>
  <cellXfs count="59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center" vertical="center"/>
    </xf>
    <xf numFmtId="0" fontId="1" fillId="0" borderId="0" xfId="0" pivotButton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4" fontId="5" fillId="3" borderId="3" xfId="0" applyNumberFormat="1" applyFont="1" applyFill="1" applyBorder="1" applyAlignment="1">
      <alignment horizontal="center" vertical="center"/>
    </xf>
    <xf numFmtId="14" fontId="5" fillId="0" borderId="3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 readingOrder="2"/>
    </xf>
    <xf numFmtId="0" fontId="1" fillId="0" borderId="0" xfId="0" applyFont="1" applyAlignment="1">
      <alignment readingOrder="2"/>
    </xf>
    <xf numFmtId="0" fontId="2" fillId="4" borderId="1" xfId="0" applyFont="1" applyFill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readingOrder="2"/>
    </xf>
    <xf numFmtId="0" fontId="1" fillId="5" borderId="1" xfId="0" applyFont="1" applyFill="1" applyBorder="1" applyAlignment="1">
      <alignment horizontal="center" vertical="center" wrapText="1" readingOrder="2"/>
    </xf>
    <xf numFmtId="0" fontId="1" fillId="5" borderId="1" xfId="0" applyFont="1" applyFill="1" applyBorder="1" applyAlignment="1">
      <alignment horizontal="center" vertical="center" readingOrder="2"/>
    </xf>
    <xf numFmtId="0" fontId="1" fillId="5" borderId="4" xfId="0" applyFont="1" applyFill="1" applyBorder="1" applyAlignment="1">
      <alignment horizontal="center" vertical="center" wrapText="1" readingOrder="2"/>
    </xf>
    <xf numFmtId="0" fontId="1" fillId="0" borderId="4" xfId="0" applyFont="1" applyBorder="1" applyAlignment="1">
      <alignment horizontal="center" vertical="center" wrapText="1" readingOrder="2"/>
    </xf>
    <xf numFmtId="165" fontId="1" fillId="0" borderId="0" xfId="0" applyNumberFormat="1" applyFont="1"/>
    <xf numFmtId="165" fontId="3" fillId="0" borderId="0" xfId="0" applyNumberFormat="1" applyFont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3" borderId="5" xfId="0" applyNumberFormat="1" applyFont="1" applyFill="1" applyBorder="1" applyAlignment="1">
      <alignment horizontal="center" vertical="center"/>
    </xf>
    <xf numFmtId="14" fontId="5" fillId="0" borderId="5" xfId="0" applyNumberFormat="1" applyFont="1" applyBorder="1" applyAlignment="1">
      <alignment horizontal="center" vertical="center"/>
    </xf>
    <xf numFmtId="14" fontId="5" fillId="3" borderId="12" xfId="0" applyNumberFormat="1" applyFont="1" applyFill="1" applyBorder="1" applyAlignment="1">
      <alignment horizontal="center" vertical="center"/>
    </xf>
    <xf numFmtId="14" fontId="5" fillId="0" borderId="12" xfId="0" applyNumberFormat="1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4" fontId="4" fillId="2" borderId="7" xfId="0" applyNumberFormat="1" applyFont="1" applyFill="1" applyBorder="1" applyAlignment="1">
      <alignment horizontal="center" vertical="center"/>
    </xf>
    <xf numFmtId="14" fontId="4" fillId="2" borderId="8" xfId="0" applyNumberFormat="1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14" fontId="5" fillId="3" borderId="2" xfId="0" applyNumberFormat="1" applyFont="1" applyFill="1" applyBorder="1" applyAlignment="1">
      <alignment horizontal="center" vertical="center"/>
    </xf>
    <xf numFmtId="14" fontId="5" fillId="3" borderId="10" xfId="0" applyNumberFormat="1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14" fontId="5" fillId="6" borderId="2" xfId="0" applyNumberFormat="1" applyFont="1" applyFill="1" applyBorder="1" applyAlignment="1">
      <alignment horizontal="center" vertical="center"/>
    </xf>
    <xf numFmtId="14" fontId="5" fillId="6" borderId="10" xfId="0" applyNumberFormat="1" applyFont="1" applyFill="1" applyBorder="1" applyAlignment="1">
      <alignment horizontal="center" vertical="center"/>
    </xf>
    <xf numFmtId="0" fontId="7" fillId="0" borderId="0" xfId="0" applyFont="1"/>
    <xf numFmtId="164" fontId="7" fillId="0" borderId="0" xfId="0" applyNumberFormat="1" applyFont="1"/>
    <xf numFmtId="0" fontId="1" fillId="0" borderId="0" xfId="0" applyFont="1" applyAlignment="1">
      <alignment horizontal="center" readingOrder="2"/>
    </xf>
    <xf numFmtId="0" fontId="8" fillId="0" borderId="0" xfId="0" applyFont="1"/>
    <xf numFmtId="0" fontId="8" fillId="3" borderId="0" xfId="0" applyFont="1" applyFill="1"/>
    <xf numFmtId="164" fontId="1" fillId="3" borderId="0" xfId="0" applyNumberFormat="1" applyFont="1" applyFill="1"/>
    <xf numFmtId="0" fontId="1" fillId="0" borderId="0" xfId="0" applyFont="1" applyAlignment="1">
      <alignment horizontal="right" vertical="top"/>
    </xf>
    <xf numFmtId="0" fontId="1" fillId="7" borderId="0" xfId="0" applyFont="1" applyFill="1"/>
    <xf numFmtId="165" fontId="1" fillId="7" borderId="0" xfId="0" applyNumberFormat="1" applyFont="1" applyFill="1"/>
    <xf numFmtId="0" fontId="1" fillId="8" borderId="13" xfId="1" applyFont="1"/>
    <xf numFmtId="165" fontId="1" fillId="8" borderId="13" xfId="1" applyNumberFormat="1" applyFont="1"/>
    <xf numFmtId="164" fontId="1" fillId="8" borderId="13" xfId="1" applyNumberFormat="1" applyFont="1"/>
    <xf numFmtId="0" fontId="0" fillId="0" borderId="0" xfId="0" pivotButton="1"/>
    <xf numFmtId="0" fontId="0" fillId="0" borderId="0" xfId="0" applyAlignment="1">
      <alignment horizontal="right"/>
    </xf>
    <xf numFmtId="0" fontId="10" fillId="0" borderId="0" xfId="0" applyFont="1"/>
    <xf numFmtId="0" fontId="0" fillId="9" borderId="0" xfId="0" applyFill="1"/>
    <xf numFmtId="0" fontId="11" fillId="9" borderId="0" xfId="0" applyFont="1" applyFill="1"/>
  </cellXfs>
  <cellStyles count="2">
    <cellStyle name="عادي" xfId="0" builtinId="0"/>
    <cellStyle name="ملاحظة" xfId="1" builtinId="10"/>
  </cellStyles>
  <dxfs count="129"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ont>
        <color auto="1"/>
      </font>
    </dxf>
    <dxf>
      <font>
        <color auto="1"/>
      </font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ont>
        <color auto="1"/>
      </font>
    </dxf>
    <dxf>
      <font>
        <color auto="1"/>
      </font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ont>
        <color rgb="FFFF0000"/>
      </font>
    </dxf>
    <dxf>
      <font>
        <color rgb="FFFF0000"/>
      </font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charset val="178"/>
        <scheme val="minor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charset val="178"/>
        <scheme val="minor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charset val="178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numFmt numFmtId="165" formatCode="yyyy\-mm\-dd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jed" refreshedDate="46028.640158680559" createdVersion="8" refreshedVersion="8" minRefreshableVersion="3" recordCount="362" xr:uid="{E7440E2B-0546-496F-A283-ACF68934F6B4}">
  <cacheSource type="worksheet">
    <worksheetSource name="الجدول1"/>
  </cacheSource>
  <cacheFields count="34">
    <cacheField name="ID Type" numFmtId="0">
      <sharedItems/>
    </cacheField>
    <cacheField name="Candidate NID" numFmtId="0">
      <sharedItems containsMixedTypes="1" containsNumber="1" containsInteger="1" minValue="1079449771" maxValue="1079449771"/>
    </cacheField>
    <cacheField name="Candidate Name" numFmtId="0">
      <sharedItems/>
    </cacheField>
    <cacheField name="Investigation" numFmtId="0">
      <sharedItems/>
    </cacheField>
    <cacheField name="Creation Date" numFmtId="0">
      <sharedItems containsSemiMixedTypes="0" containsNonDate="0" containsDate="1" containsString="0" minDate="2025-01-01T00:00:00" maxDate="2026-01-01T00:00:00" count="189">
        <d v="2025-01-01T00:00:00"/>
        <d v="2025-01-11T00:00:00"/>
        <d v="2025-01-12T00:00:00"/>
        <d v="2025-01-13T00:00:00"/>
        <d v="2025-01-14T00:00:00"/>
        <d v="2025-01-16T00:00:00"/>
        <d v="2025-01-20T00:00:00"/>
        <d v="2025-01-22T00:00:00"/>
        <d v="2025-01-23T00:00:00"/>
        <d v="2025-01-26T00:00:00"/>
        <d v="2025-02-06T00:00:00"/>
        <d v="2025-02-10T00:00:00"/>
        <d v="2025-02-13T00:00:00"/>
        <d v="2025-02-16T00:00:00"/>
        <d v="2025-02-17T00:00:00"/>
        <d v="2025-02-18T00:00:00"/>
        <d v="2025-02-19T00:00:00"/>
        <d v="2025-02-20T00:00:00"/>
        <d v="2025-02-21T00:00:00"/>
        <d v="2025-02-24T00:00:00"/>
        <d v="2025-02-25T00:00:00"/>
        <d v="2025-03-08T00:00:00"/>
        <d v="2025-03-09T00:00:00"/>
        <d v="2025-03-10T00:00:00"/>
        <d v="2025-03-12T00:00:00"/>
        <d v="2025-03-16T00:00:00"/>
        <d v="2025-03-18T00:00:00"/>
        <d v="2025-03-23T00:00:00"/>
        <d v="2025-03-25T00:00:00"/>
        <d v="2025-04-01T00:00:00"/>
        <d v="2025-04-02T00:00:00"/>
        <d v="2025-04-03T00:00:00"/>
        <d v="2025-04-05T00:00:00"/>
        <d v="2025-04-07T00:00:00"/>
        <d v="2025-04-08T00:00:00"/>
        <d v="2025-04-09T00:00:00"/>
        <d v="2025-04-10T00:00:00"/>
        <d v="2025-04-13T00:00:00"/>
        <d v="2025-04-14T00:00:00"/>
        <d v="2025-04-20T00:00:00"/>
        <d v="2025-04-21T00:00:00"/>
        <d v="2025-04-22T00:00:00"/>
        <d v="2025-04-23T00:00:00"/>
        <d v="2025-04-24T00:00:00"/>
        <d v="2025-04-27T00:00:00"/>
        <d v="2025-04-28T00:00:00"/>
        <d v="2025-05-05T00:00:00"/>
        <d v="2025-05-08T00:00:00"/>
        <d v="2025-05-10T00:00:00"/>
        <d v="2025-05-11T00:00:00"/>
        <d v="2025-05-13T00:00:00"/>
        <d v="2025-05-14T00:00:00"/>
        <d v="2025-05-15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5T00:00:00"/>
        <d v="2025-05-29T00:00:00"/>
        <d v="2025-05-30T00:00:00"/>
        <d v="2025-05-31T00:00:00"/>
        <d v="2025-06-04T00:00:00"/>
        <d v="2025-06-05T00:00:00"/>
        <d v="2025-06-06T00:00:00"/>
        <d v="2025-06-09T00:00:00"/>
        <d v="2025-06-15T00:00:00"/>
        <d v="2025-06-17T00:00:00"/>
        <d v="2025-06-18T00:00:00"/>
        <d v="2025-06-20T00:00:00"/>
        <d v="2025-06-21T00:00:00"/>
        <d v="2025-06-22T00:00:00"/>
        <d v="2025-06-26T00:00:00"/>
        <d v="2025-06-27T00:00:00"/>
        <d v="2025-06-29T00:00:00"/>
        <d v="2025-07-06T00:00:00"/>
        <d v="2025-07-07T00:00:00"/>
        <d v="2025-07-13T00:00:00"/>
        <d v="2025-07-14T00:00:00"/>
        <d v="2025-07-15T00:00:00"/>
        <d v="2025-07-16T00:00:00"/>
        <d v="2025-07-18T00:00:00"/>
        <d v="2025-07-20T00:00:00"/>
        <d v="2025-07-21T00:00:00"/>
        <d v="2025-07-22T00:00:00"/>
        <d v="2025-07-24T00:00:00"/>
        <d v="2025-07-25T00:00:00"/>
        <d v="2025-07-27T00:00:00"/>
        <d v="2025-07-28T00:00:00"/>
        <d v="2025-07-30T00:00:00"/>
        <d v="2025-08-03T00:00:00"/>
        <d v="2025-08-04T00:00:00"/>
        <d v="2025-08-05T00:00:00"/>
        <d v="2025-08-08T00:00:00"/>
        <d v="2025-08-10T00:00:00"/>
        <d v="2025-08-13T00:00:00"/>
        <d v="2025-08-14T00:00:00"/>
        <d v="2025-08-17T00:00:00"/>
        <d v="2025-08-18T00:00:00"/>
        <d v="2025-08-19T00:00:00"/>
        <d v="2025-08-25T00:00:00"/>
        <d v="2025-08-26T00:00:00"/>
        <d v="2025-08-27T00:00:00"/>
        <d v="2025-08-31T00:00:00"/>
        <d v="2025-09-01T00:00:00"/>
        <d v="2025-09-03T00:00:00"/>
        <d v="2025-09-04T00:00:00"/>
        <d v="2025-09-05T00:00:00"/>
        <d v="2025-09-07T00:00:00"/>
        <d v="2025-09-08T00:00:00"/>
        <d v="2025-09-09T00:00:00"/>
        <d v="2025-09-10T00:00:00"/>
        <d v="2025-09-11T00:00:00"/>
        <d v="2025-09-13T00:00:00"/>
        <d v="2025-09-14T00:00:00"/>
        <d v="2025-09-15T00:00:00"/>
        <d v="2025-09-16T00:00:00"/>
        <d v="2025-09-17T00:00:00"/>
        <d v="2025-09-18T00:00:00"/>
        <d v="2025-09-20T00:00:00"/>
        <d v="2025-09-21T00:00:00"/>
        <d v="2025-09-22T00:00:00"/>
        <d v="2025-09-24T00:00:00"/>
        <d v="2025-09-25T00:00:00"/>
        <d v="2025-09-26T00:00:00"/>
        <d v="2025-09-27T00:00:00"/>
        <d v="2025-09-28T00:00:00"/>
        <d v="2025-09-30T00:00:00"/>
        <d v="2025-10-02T00:00:00"/>
        <d v="2025-10-04T00:00:00"/>
        <d v="2025-10-05T00:00:00"/>
        <d v="2025-10-06T00:00:00"/>
        <d v="2025-10-07T00:00:00"/>
        <d v="2025-10-08T00:00:00"/>
        <d v="2025-10-09T00:00:00"/>
        <d v="2025-10-11T00:00:00"/>
        <d v="2025-10-12T00:00:00"/>
        <d v="2025-10-13T00:00:00"/>
        <d v="2025-10-14T00:00:00"/>
        <d v="2025-10-15T00:00:00"/>
        <d v="2025-10-19T00:00:00"/>
        <d v="2025-10-20T00:00:00"/>
        <d v="2025-10-21T00:00:00"/>
        <d v="2025-10-22T00:00:00"/>
        <d v="2025-10-23T00:00:00"/>
        <d v="2025-10-27T00:00:00"/>
        <d v="2025-10-28T00:00:00"/>
        <d v="2025-10-29T00:00:00"/>
        <d v="2025-10-30T00:00:00"/>
        <d v="2025-11-02T00:00:00"/>
        <d v="2025-11-03T00:00:00"/>
        <d v="2025-11-05T00:00:00"/>
        <d v="2025-11-06T00:00:00"/>
        <d v="2025-11-09T00:00:00"/>
        <d v="2025-11-12T00:00:00"/>
        <d v="2025-11-13T00:00:00"/>
        <d v="2025-11-15T00:00:00"/>
        <d v="2025-11-16T00:00:00"/>
        <d v="2025-11-17T00:00:00"/>
        <d v="2025-11-19T00:00:00"/>
        <d v="2025-11-20T00:00:00"/>
        <d v="2025-11-23T00:00:00"/>
        <d v="2025-11-24T00:00:00"/>
        <d v="2025-11-25T00:00:00"/>
        <d v="2025-11-26T00:00:00"/>
        <d v="2025-11-29T00:00:00"/>
        <d v="2025-11-30T00:00:00"/>
        <d v="2025-12-01T00:00:00"/>
        <d v="2025-12-03T00:00:00"/>
        <d v="2025-12-04T00:00:00"/>
        <d v="2025-12-07T00:00:00"/>
        <d v="2025-12-08T00:00:00"/>
        <d v="2025-12-09T00:00:00"/>
        <d v="2025-12-10T00:00:00"/>
        <d v="2025-12-11T00:00:00"/>
        <d v="2025-12-14T00:00:00"/>
        <d v="2025-12-15T00:00:00"/>
        <d v="2025-12-16T00:00:00"/>
        <d v="2025-12-19T00:00:00"/>
        <d v="2025-12-21T00:00:00"/>
        <d v="2025-12-22T00:00:00"/>
        <d v="2025-12-24T00:00:00"/>
        <d v="2025-12-27T00:00:00"/>
        <d v="2025-12-28T00:00:00"/>
        <d v="2025-12-29T00:00:00"/>
        <d v="2025-12-30T00:00:00"/>
        <d v="2025-12-31T00:00:00"/>
      </sharedItems>
      <fieldGroup par="33"/>
    </cacheField>
    <cacheField name="Malaria Classification" numFmtId="164">
      <sharedItems containsBlank="1" count="11">
        <s v="خبيثة"/>
        <s v="حميدة"/>
        <s v="ليست حالة"/>
        <s v="وافدة من الداخل"/>
        <s v="أنتكاسة - حميدة"/>
        <s v="مختلطة"/>
        <s v="وافدة من الداخل خبيثة"/>
        <s v="مكرره - خبيثة"/>
        <s v="وافده  من الداخل"/>
        <m/>
        <s v="فحص" u="1"/>
      </sharedItems>
    </cacheField>
    <cacheField name="Priority" numFmtId="0">
      <sharedItems/>
    </cacheField>
    <cacheField name="Encounter Group" numFmtId="0">
      <sharedItems/>
    </cacheField>
    <cacheField name="Disease" numFmtId="0">
      <sharedItems/>
    </cacheField>
    <cacheField name="Classification Group" numFmtId="0">
      <sharedItems/>
    </cacheField>
    <cacheField name="Classification" numFmtId="0">
      <sharedItems count="6">
        <s v="مؤكدة"/>
        <s v="ليست حالة"/>
        <s v="مشتبه"/>
        <s v="تحت التقصي "/>
        <s v="محتمله"/>
        <s v="لا يتوافق مع تعريف الحالة"/>
      </sharedItems>
    </cacheField>
    <cacheField name="Disposition" numFmtId="0">
      <sharedItems/>
    </cacheField>
    <cacheField name="ReportingOrganizationSource" numFmtId="0">
      <sharedItems count="39">
        <s v="مستشفى الميقات العام"/>
        <s v="مستشفى السلام"/>
        <s v="مركز الفحص الشامل"/>
        <s v="مستشفى خيبر العام"/>
        <s v="مستشفى المدينة المنورة العام"/>
        <s v="مستشفى الملك فهد بالمدينة المنورة"/>
        <s v="مستشفى وادي الفرع"/>
        <s v="مركز وعيرة للرعاية الصحية الاولية"/>
        <s v="مستشفى بدر العام"/>
        <s v="مستشفى الأمير سلطان للقوات المسلحة بالمدينة المنورة"/>
        <s v="مركز صحي باب جبريل للرعاية الصحية الأولية"/>
        <s v="مستشفى ينبع العام"/>
        <s v="مستشفى النساء والولادة والاطفال بالمدينة المنورة"/>
        <s v="مركز صحي الصافية"/>
        <s v="مستشفى الأمير محمد بن عبدالعزيز - المدينة المنورة"/>
        <s v="مستشفى الامير عبدالمحسن بالعلا"/>
        <s v="المركز الطبي للهيئة الملكية بينبع"/>
        <s v="مستشفى الحناكية العام"/>
        <s v="مستشفى  ينبع الوطني للخدمات الطبية"/>
        <s v="مستشفى المواساة للخدمات الطبية"/>
        <s v="مركز المراقبة الصحية"/>
        <s v="مستشفى المدينة الوطني"/>
        <s v="مستشفى المهد العام"/>
        <s v="مستشفى الحرم الميداني"/>
        <s v="مستشفى العيص العام"/>
        <s v="مستشفى الحياة الوطنى بالمدينة"/>
        <s v="مستشفي الزهراء الخاص"/>
        <s v="المركز الطبي الجامعي بالجامعة الاسلامية"/>
        <s v="مستشفى الحمنه العام"/>
        <s v="مستشفى احد"/>
        <s v="شركة الدكتور حامد سليمان الأحمدي وشركاه المحدوده"/>
        <s v="مستشفى السعودي الالماني شركة الشرق الاوسط للرعاية الصحي"/>
        <s v="مستشفي الانصاري التخصصي"/>
        <s v="مجمع  حكيم طيبة الطبي العام"/>
        <s v="مجمع عيادات فرع شركة العبير العالمية الطبية المحدودة"/>
        <s v="مجمع  سما الطبي"/>
        <s v="المركز الصحي لقوى الأمن بالسجن العام بالمدينة المنورة"/>
        <s v="مجمع العقـــيق الطبي"/>
        <s v="مختبر الشامل للتحاليل الطبية"/>
      </sharedItems>
    </cacheField>
    <cacheField name="Reporting Organization Directorate" numFmtId="0">
      <sharedItems/>
    </cacheField>
    <cacheField name="Reporting Organization Region" numFmtId="0">
      <sharedItems/>
    </cacheField>
    <cacheField name="Responsible Organization Source" numFmtId="0">
      <sharedItems/>
    </cacheField>
    <cacheField name="Responsible Organization Directorate" numFmtId="0">
      <sharedItems/>
    </cacheField>
    <cacheField name="DATEOFBIRTH" numFmtId="0">
      <sharedItems/>
    </cacheField>
    <cacheField name="Age" numFmtId="0">
      <sharedItems/>
    </cacheField>
    <cacheField name="Gender" numFmtId="0">
      <sharedItems/>
    </cacheField>
    <cacheField name="Nationality" numFmtId="0">
      <sharedItems count="29">
        <s v="باكستان"/>
        <s v="اثيوبيا"/>
        <s v="السودان"/>
        <s v="أوغندا"/>
        <s v="السعودية"/>
        <s v="جمهورية تنزانيا المتحدة"/>
        <s v="كينيا"/>
        <s v="اليمن"/>
        <s v="النيجير"/>
        <s v="تشاد"/>
        <s v="غانا"/>
        <s v="بنجلاديش"/>
        <s v="الهند"/>
        <s v="جمهورية أفريقيا الوسطى"/>
        <s v="الفلبين"/>
        <s v="نيجيريا"/>
        <s v="غينيا"/>
        <s v="نيبال"/>
        <s v="جزر القمر"/>
        <s v="الكاميرون"/>
        <s v="بوركينافاسو"/>
        <s v="سيراليون"/>
        <s v="مالي"/>
        <s v="افغانستان"/>
        <s v="توجو"/>
        <s v="جزر برمودا"/>
        <s v="بوروندي"/>
        <s v="أنجولا"/>
        <s v="غير معروف" u="1"/>
      </sharedItems>
    </cacheField>
    <cacheField name="PHONENUMBER" numFmtId="0">
      <sharedItems containsMixedTypes="1" containsNumber="1" containsInteger="1" minValue="500917554" maxValue="565566265"/>
    </cacheField>
    <cacheField name="Outcome" numFmtId="0">
      <sharedItems/>
    </cacheField>
    <cacheField name="Outcome Date" numFmtId="0">
      <sharedItems/>
    </cacheField>
    <cacheField name="Investigation Status" numFmtId="0">
      <sharedItems/>
    </cacheField>
    <cacheField name="DATEOFDEATH" numFmtId="0">
      <sharedItems/>
    </cacheField>
    <cacheField name="Risk Factor" numFmtId="0">
      <sharedItems/>
    </cacheField>
    <cacheField name="Risk Factor Date" numFmtId="0">
      <sharedItems/>
    </cacheField>
    <cacheField name="Sign Symptoms" numFmtId="0">
      <sharedItems/>
    </cacheField>
    <cacheField name="Sign Symptoms Date" numFmtId="0">
      <sharedItems/>
    </cacheField>
    <cacheField name="REQUISITIONCODE" numFmtId="0">
      <sharedItems/>
    </cacheField>
    <cacheField name="REQUISITIONDATE" numFmtId="0">
      <sharedItems/>
    </cacheField>
    <cacheField name="الأيام (Creation Date)" numFmtId="0" databaseField="0">
      <fieldGroup base="4">
        <rangePr groupBy="days" startDate="2025-01-01T00:00:00" endDate="2026-01-01T00:00:00"/>
        <groupItems count="368">
          <s v="&lt;01/01/2025"/>
          <s v="01-يناير"/>
          <s v="02-يناير"/>
          <s v="03-يناير"/>
          <s v="04-يناير"/>
          <s v="05-يناير"/>
          <s v="06-يناير"/>
          <s v="07-يناير"/>
          <s v="08-يناير"/>
          <s v="09-يناير"/>
          <s v="10-يناير"/>
          <s v="11-يناير"/>
          <s v="12-يناير"/>
          <s v="13-يناير"/>
          <s v="14-يناير"/>
          <s v="15-يناير"/>
          <s v="16-يناير"/>
          <s v="17-يناير"/>
          <s v="18-يناير"/>
          <s v="19-يناير"/>
          <s v="20-يناير"/>
          <s v="21-يناير"/>
          <s v="22-يناير"/>
          <s v="23-يناير"/>
          <s v="24-يناير"/>
          <s v="25-يناير"/>
          <s v="26-يناير"/>
          <s v="27-يناير"/>
          <s v="28-يناير"/>
          <s v="29-يناير"/>
          <s v="30-يناير"/>
          <s v="31-يناير"/>
          <s v="01-فبراير"/>
          <s v="02-فبراير"/>
          <s v="03-فبراير"/>
          <s v="04-فبراير"/>
          <s v="05-فبراير"/>
          <s v="06-فبراير"/>
          <s v="07-فبراير"/>
          <s v="08-فبراير"/>
          <s v="09-فبراير"/>
          <s v="10-فبراير"/>
          <s v="11-فبراير"/>
          <s v="12-فبراير"/>
          <s v="13-فبراير"/>
          <s v="14-فبراير"/>
          <s v="15-فبراير"/>
          <s v="16-فبراير"/>
          <s v="17-فبراير"/>
          <s v="18-فبراير"/>
          <s v="19-فبراير"/>
          <s v="20-فبراير"/>
          <s v="21-فبراير"/>
          <s v="22-فبراير"/>
          <s v="23-فبراير"/>
          <s v="24-فبراير"/>
          <s v="25-فبراير"/>
          <s v="26-فبراير"/>
          <s v="27-فبراير"/>
          <s v="28-فبراير"/>
          <s v="29-فبراير"/>
          <s v="01-مارس"/>
          <s v="02-مارس"/>
          <s v="03-مارس"/>
          <s v="04-مارس"/>
          <s v="05-مارس"/>
          <s v="06-مارس"/>
          <s v="07-مارس"/>
          <s v="08-مارس"/>
          <s v="09-مارس"/>
          <s v="10-مارس"/>
          <s v="11-مارس"/>
          <s v="12-مارس"/>
          <s v="13-مارس"/>
          <s v="14-مارس"/>
          <s v="15-مارس"/>
          <s v="16-مارس"/>
          <s v="17-مارس"/>
          <s v="18-مارس"/>
          <s v="19-مارس"/>
          <s v="20-مارس"/>
          <s v="21-مارس"/>
          <s v="22-مارس"/>
          <s v="23-مارس"/>
          <s v="24-مارس"/>
          <s v="25-مارس"/>
          <s v="26-مارس"/>
          <s v="27-مارس"/>
          <s v="28-مارس"/>
          <s v="29-مارس"/>
          <s v="30-مارس"/>
          <s v="31-مارس"/>
          <s v="01-أبريل"/>
          <s v="02-أبريل"/>
          <s v="03-أبريل"/>
          <s v="04-أبريل"/>
          <s v="05-أبريل"/>
          <s v="06-أبريل"/>
          <s v="07-أبريل"/>
          <s v="08-أبريل"/>
          <s v="09-أبريل"/>
          <s v="10-أبريل"/>
          <s v="11-أبريل"/>
          <s v="12-أبريل"/>
          <s v="13-أبريل"/>
          <s v="14-أبريل"/>
          <s v="15-أبريل"/>
          <s v="16-أبريل"/>
          <s v="17-أبريل"/>
          <s v="18-أبريل"/>
          <s v="19-أبريل"/>
          <s v="20-أبريل"/>
          <s v="21-أبريل"/>
          <s v="22-أبريل"/>
          <s v="23-أبريل"/>
          <s v="24-أبريل"/>
          <s v="25-أبريل"/>
          <s v="26-أبريل"/>
          <s v="27-أبريل"/>
          <s v="28-أبريل"/>
          <s v="29-أبريل"/>
          <s v="30-أبريل"/>
          <s v="01-مايو"/>
          <s v="02-مايو"/>
          <s v="03-مايو"/>
          <s v="04-مايو"/>
          <s v="05-مايو"/>
          <s v="06-مايو"/>
          <s v="07-مايو"/>
          <s v="08-مايو"/>
          <s v="09-مايو"/>
          <s v="10-مايو"/>
          <s v="11-مايو"/>
          <s v="12-مايو"/>
          <s v="13-مايو"/>
          <s v="14-مايو"/>
          <s v="15-مايو"/>
          <s v="16-مايو"/>
          <s v="17-مايو"/>
          <s v="18-مايو"/>
          <s v="19-مايو"/>
          <s v="20-مايو"/>
          <s v="21-مايو"/>
          <s v="22-مايو"/>
          <s v="23-مايو"/>
          <s v="24-مايو"/>
          <s v="25-مايو"/>
          <s v="26-مايو"/>
          <s v="27-مايو"/>
          <s v="28-مايو"/>
          <s v="29-مايو"/>
          <s v="30-مايو"/>
          <s v="31-مايو"/>
          <s v="01-يونيو"/>
          <s v="02-يونيو"/>
          <s v="03-يونيو"/>
          <s v="04-يونيو"/>
          <s v="05-يونيو"/>
          <s v="06-يونيو"/>
          <s v="07-يونيو"/>
          <s v="08-يونيو"/>
          <s v="09-يونيو"/>
          <s v="10-يونيو"/>
          <s v="11-يونيو"/>
          <s v="12-يونيو"/>
          <s v="13-يونيو"/>
          <s v="14-يونيو"/>
          <s v="15-يونيو"/>
          <s v="16-يونيو"/>
          <s v="17-يونيو"/>
          <s v="18-يونيو"/>
          <s v="19-يونيو"/>
          <s v="20-يونيو"/>
          <s v="21-يونيو"/>
          <s v="22-يونيو"/>
          <s v="23-يونيو"/>
          <s v="24-يونيو"/>
          <s v="25-يونيو"/>
          <s v="26-يونيو"/>
          <s v="27-يونيو"/>
          <s v="28-يونيو"/>
          <s v="29-يونيو"/>
          <s v="30-يونيو"/>
          <s v="01-يوليو"/>
          <s v="02-يوليو"/>
          <s v="03-يوليو"/>
          <s v="04-يوليو"/>
          <s v="05-يوليو"/>
          <s v="06-يوليو"/>
          <s v="07-يوليو"/>
          <s v="08-يوليو"/>
          <s v="09-يوليو"/>
          <s v="10-يوليو"/>
          <s v="11-يوليو"/>
          <s v="12-يوليو"/>
          <s v="13-يوليو"/>
          <s v="14-يوليو"/>
          <s v="15-يوليو"/>
          <s v="16-يوليو"/>
          <s v="17-يوليو"/>
          <s v="18-يوليو"/>
          <s v="19-يوليو"/>
          <s v="20-يوليو"/>
          <s v="21-يوليو"/>
          <s v="22-يوليو"/>
          <s v="23-يوليو"/>
          <s v="24-يوليو"/>
          <s v="25-يوليو"/>
          <s v="26-يوليو"/>
          <s v="27-يوليو"/>
          <s v="28-يوليو"/>
          <s v="29-يوليو"/>
          <s v="30-يوليو"/>
          <s v="31-يوليو"/>
          <s v="01-أغسطس"/>
          <s v="02-أغسطس"/>
          <s v="03-أغسطس"/>
          <s v="04-أغسطس"/>
          <s v="05-أغسطس"/>
          <s v="06-أغسطس"/>
          <s v="07-أغسطس"/>
          <s v="08-أغسطس"/>
          <s v="09-أغسطس"/>
          <s v="10-أغسطس"/>
          <s v="11-أغسطس"/>
          <s v="12-أغسطس"/>
          <s v="13-أغسطس"/>
          <s v="14-أغسطس"/>
          <s v="15-أغسطس"/>
          <s v="16-أغسطس"/>
          <s v="17-أغسطس"/>
          <s v="18-أغسطس"/>
          <s v="19-أغسطس"/>
          <s v="20-أغسطس"/>
          <s v="21-أغسطس"/>
          <s v="22-أغسطس"/>
          <s v="23-أغسطس"/>
          <s v="24-أغسطس"/>
          <s v="25-أغسطس"/>
          <s v="26-أغسطس"/>
          <s v="27-أغسطس"/>
          <s v="28-أغسطس"/>
          <s v="29-أغسطس"/>
          <s v="30-أغسطس"/>
          <s v="31-أغسطس"/>
          <s v="01-سبتمبر"/>
          <s v="02-سبتمبر"/>
          <s v="03-سبتمبر"/>
          <s v="04-سبتمبر"/>
          <s v="05-سبتمبر"/>
          <s v="06-سبتمبر"/>
          <s v="07-سبتمبر"/>
          <s v="08-سبتمبر"/>
          <s v="09-سبتمبر"/>
          <s v="10-سبتمبر"/>
          <s v="11-سبتمبر"/>
          <s v="12-سبتمبر"/>
          <s v="13-سبتمبر"/>
          <s v="14-سبتمبر"/>
          <s v="15-سبتمبر"/>
          <s v="16-سبتمبر"/>
          <s v="17-سبتمبر"/>
          <s v="18-سبتمبر"/>
          <s v="19-سبتمبر"/>
          <s v="20-سبتمبر"/>
          <s v="21-سبتمبر"/>
          <s v="22-سبتمبر"/>
          <s v="23-سبتمبر"/>
          <s v="24-سبتمبر"/>
          <s v="25-سبتمبر"/>
          <s v="26-سبتمبر"/>
          <s v="27-سبتمبر"/>
          <s v="28-سبتمبر"/>
          <s v="29-سبتمبر"/>
          <s v="30-سبتمبر"/>
          <s v="01-أكتوبر"/>
          <s v="02-أكتوبر"/>
          <s v="03-أكتوبر"/>
          <s v="04-أكتوبر"/>
          <s v="05-أكتوبر"/>
          <s v="06-أكتوبر"/>
          <s v="07-أكتوبر"/>
          <s v="08-أكتوبر"/>
          <s v="09-أكتوبر"/>
          <s v="10-أكتوبر"/>
          <s v="11-أكتوبر"/>
          <s v="12-أكتوبر"/>
          <s v="13-أكتوبر"/>
          <s v="14-أكتوبر"/>
          <s v="15-أكتوبر"/>
          <s v="16-أكتوبر"/>
          <s v="17-أكتوبر"/>
          <s v="18-أكتوبر"/>
          <s v="19-أكتوبر"/>
          <s v="20-أكتوبر"/>
          <s v="21-أكتوبر"/>
          <s v="22-أكتوبر"/>
          <s v="23-أكتوبر"/>
          <s v="24-أكتوبر"/>
          <s v="25-أكتوبر"/>
          <s v="26-أكتوبر"/>
          <s v="27-أكتوبر"/>
          <s v="28-أكتوبر"/>
          <s v="29-أكتوبر"/>
          <s v="30-أكتوبر"/>
          <s v="31-أكتوبر"/>
          <s v="01-نوفمبر"/>
          <s v="02-نوفمبر"/>
          <s v="03-نوفمبر"/>
          <s v="04-نوفمبر"/>
          <s v="05-نوفمبر"/>
          <s v="06-نوفمبر"/>
          <s v="07-نوفمبر"/>
          <s v="08-نوفمبر"/>
          <s v="09-نوفمبر"/>
          <s v="10-نوفمبر"/>
          <s v="11-نوفمبر"/>
          <s v="12-نوفمبر"/>
          <s v="13-نوفمبر"/>
          <s v="14-نوفمبر"/>
          <s v="15-نوفمبر"/>
          <s v="16-نوفمبر"/>
          <s v="17-نوفمبر"/>
          <s v="18-نوفمبر"/>
          <s v="19-نوفمبر"/>
          <s v="20-نوفمبر"/>
          <s v="21-نوفمبر"/>
          <s v="22-نوفمبر"/>
          <s v="23-نوفمبر"/>
          <s v="24-نوفمبر"/>
          <s v="25-نوفمبر"/>
          <s v="26-نوفمبر"/>
          <s v="27-نوفمبر"/>
          <s v="28-نوفمبر"/>
          <s v="29-نوفمبر"/>
          <s v="30-نوفمبر"/>
          <s v="01-ديسمبر"/>
          <s v="02-ديسمبر"/>
          <s v="03-ديسمبر"/>
          <s v="04-ديسمبر"/>
          <s v="05-ديسمبر"/>
          <s v="06-ديسمبر"/>
          <s v="07-ديسمبر"/>
          <s v="08-ديسمبر"/>
          <s v="09-ديسمبر"/>
          <s v="10-ديسمبر"/>
          <s v="11-ديسمبر"/>
          <s v="12-ديسمبر"/>
          <s v="13-ديسمبر"/>
          <s v="14-ديسمبر"/>
          <s v="15-ديسمبر"/>
          <s v="16-ديسمبر"/>
          <s v="17-ديسمبر"/>
          <s v="18-ديسمبر"/>
          <s v="19-ديسمبر"/>
          <s v="20-ديسمبر"/>
          <s v="21-ديسمبر"/>
          <s v="22-ديسمبر"/>
          <s v="23-ديسمبر"/>
          <s v="24-ديسمبر"/>
          <s v="25-ديسمبر"/>
          <s v="26-ديسمبر"/>
          <s v="27-ديسمبر"/>
          <s v="28-ديسمبر"/>
          <s v="29-ديسمبر"/>
          <s v="30-ديسمبر"/>
          <s v="31-ديسمبر"/>
          <s v="&gt;01/01/2026"/>
        </groupItems>
      </fieldGroup>
    </cacheField>
    <cacheField name="الشهور (Creation Date)" numFmtId="0" databaseField="0">
      <fieldGroup base="4">
        <rangePr groupBy="months" startDate="2025-01-01T00:00:00" endDate="2026-01-01T00:00:00"/>
        <groupItems count="14">
          <s v="&lt;01/01/2025"/>
          <s v="يناير"/>
          <s v="فبراير"/>
          <s v="مارس"/>
          <s v="أبريل"/>
          <s v="مايو"/>
          <s v="يونيو"/>
          <s v="يوليو"/>
          <s v="أغسطس"/>
          <s v="سبتمبر"/>
          <s v="أكتوبر"/>
          <s v="نوفمبر"/>
          <s v="ديسمبر"/>
          <s v="&gt;01/0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2">
  <r>
    <s v="مقيم"/>
    <s v="2462357696"/>
    <s v="خدا بخش سودهو ب تشاندو"/>
    <s v="INV025169958"/>
    <x v="0"/>
    <x v="0"/>
    <s v="N/A"/>
    <s v="مجموعة عمل الأمراض المعدية الآخرى"/>
    <s v="*الملاريا"/>
    <s v="حالة"/>
    <x v="0"/>
    <s v="حالة منتهية لا تتطلب اجراء اضافي"/>
    <x v="0"/>
    <s v="المديرية العامة للشؤون الصحية في المدينة المنورة"/>
    <s v="المدينة المنورة"/>
    <s v="مركز صحي الجديدة"/>
    <s v="المديرية العامة للشؤون الصحية في المدينة المنورة"/>
    <s v="1995-01-01"/>
    <s v="30"/>
    <s v="ذكر"/>
    <x v="0"/>
    <s v="592578614"/>
    <s v="N/A"/>
    <s v="N/A"/>
    <s v="مفتوح"/>
    <s v="N/A"/>
    <s v="N/A"/>
    <s v="N/A"/>
    <s v="N/A"/>
    <s v="N/A"/>
    <s v="02-050-0324870"/>
    <s v="Jan 12 2025 12:27PM"/>
  </r>
  <r>
    <s v="رقم حدود"/>
    <s v="3532589946"/>
    <s v="ساديا علي السيد "/>
    <s v="INV025169972"/>
    <x v="0"/>
    <x v="1"/>
    <s v="N/A"/>
    <s v="مجموعة عمل الأمراض المعدية الآخرى"/>
    <s v="*الملاريا"/>
    <s v="حالة"/>
    <x v="0"/>
    <s v="حالة منتهية لا تتطلب اجراء اضافي"/>
    <x v="0"/>
    <s v="المديرية العامة للشؤون الصحية في المدينة المنورة"/>
    <s v="المدينة المنورة"/>
    <s v="مركز الدعيثة للرعاية الصحية الاولية"/>
    <s v="المديرية العامة للشؤون الصحية في المدينة المنورة"/>
    <s v="1999-02-15"/>
    <s v="26"/>
    <s v="انثى"/>
    <x v="1"/>
    <s v="583434006"/>
    <s v="N/A"/>
    <s v="N/A"/>
    <s v="مفتوح"/>
    <s v="N/A"/>
    <s v="N/A"/>
    <s v="N/A"/>
    <s v="N/A"/>
    <s v="N/A"/>
    <s v="02-050-0324873"/>
    <s v="Jan 12 2025 12:30PM"/>
  </r>
  <r>
    <s v="أخرى"/>
    <s v="6126876624"/>
    <s v="KEDICHA SHEMSU  KEDIRO"/>
    <s v="INV025169980"/>
    <x v="0"/>
    <x v="1"/>
    <s v="N/A"/>
    <s v="مجموعة عمل الأمراض المعدية الآخرى"/>
    <s v="*الملاريا"/>
    <s v="حالة"/>
    <x v="0"/>
    <s v="حالة منتهية لا تتطلب اجراء اضافي"/>
    <x v="0"/>
    <s v="المديرية العامة للشؤون الصحية في المدينة المنورة"/>
    <s v="المدينة المنورة"/>
    <s v="مركز صحي القبلتين بني سلمه"/>
    <s v="المديرية العامة للشؤون الصحية في المدينة المنورة"/>
    <s v="1998-04-22"/>
    <s v="26"/>
    <s v="انثى"/>
    <x v="1"/>
    <s v="541671688"/>
    <s v="N/A"/>
    <s v="N/A"/>
    <s v="مفتوح"/>
    <s v="N/A"/>
    <s v="N/A"/>
    <s v="N/A"/>
    <s v="N/A"/>
    <s v="N/A"/>
    <s v="02-050-0324881"/>
    <s v="Jan 12 2025 12:37PM"/>
  </r>
  <r>
    <s v="مقيم"/>
    <s v="2555789219"/>
    <s v="موسي سليمان الامام محمد"/>
    <s v="INV025177670"/>
    <x v="1"/>
    <x v="0"/>
    <s v="N/A"/>
    <s v="مجموعة عمل الأمراض المعدية الآخرى"/>
    <s v="*الملاريا"/>
    <s v="حالة"/>
    <x v="0"/>
    <s v="حالة منتهية لا تتطلب اجراء اضافي"/>
    <x v="1"/>
    <s v="المديرية العامة للشؤون الصحية في المدينة المنورة"/>
    <s v="المدينة المنورة"/>
    <s v="مستشفى السلام"/>
    <s v="المديرية العامة للشؤون الصحية في المدينة المنورة"/>
    <s v="1965-09-10"/>
    <s v="59"/>
    <s v="ذكر"/>
    <x v="2"/>
    <s v="500271432"/>
    <s v="N/A"/>
    <s v="N/A"/>
    <s v="مغلق"/>
    <s v="N/A"/>
    <s v="N/A"/>
    <s v="N/A"/>
    <s v="N/A"/>
    <s v="N/A"/>
    <s v="02-050-0325008"/>
    <s v="Jan 12 2025  2:05PM"/>
  </r>
  <r>
    <s v="أخرى"/>
    <s v="p08544710"/>
    <s v="محمد الجيلي  محمد"/>
    <s v="INV025178360"/>
    <x v="2"/>
    <x v="1"/>
    <s v="عالي"/>
    <s v="مجموعة عمل الأمراض المعدية الآخرى"/>
    <s v="*الملاريا"/>
    <s v="حالة"/>
    <x v="0"/>
    <s v="حالة منتهية لا تتطلب اجراء اضافي"/>
    <x v="0"/>
    <s v="المديرية العامة للشؤون الصحية في المدينة المنورة"/>
    <s v="المدينة المنورة"/>
    <s v="مركز صحي القبلتين بني سلمه"/>
    <s v="المديرية العامة للشؤون الصحية في المدينة المنورة"/>
    <s v="1991-02-12"/>
    <s v="34"/>
    <s v="ذكر"/>
    <x v="2"/>
    <s v="506897225"/>
    <s v="N/A"/>
    <s v="N/A"/>
    <s v="مفتوح"/>
    <s v="N/A"/>
    <s v="N/A"/>
    <s v="N/A"/>
    <s v="N/A"/>
    <s v="N/A"/>
    <s v="02-050-0324817"/>
    <s v="Jan 12 2025 11:44AM"/>
  </r>
  <r>
    <s v="رقم حدود"/>
    <s v="3527630051"/>
    <s v="'-   -"/>
    <s v="INV025178524"/>
    <x v="2"/>
    <x v="2"/>
    <s v="N/A"/>
    <s v="مجموعة عمل الأمراض المعدية الآخرى"/>
    <s v="*الملاريا"/>
    <s v="حالة"/>
    <x v="1"/>
    <s v="حالة منتهية لا تتطلب اجراء اضافي"/>
    <x v="2"/>
    <s v="المديرية العامة للشؤون الصحية في المدينة المنورة"/>
    <s v="المدينة المنورة"/>
    <s v="مركز الفحص الشامل"/>
    <s v="المديرية العامة للشؤون الصحية في المدينة المنورة"/>
    <s v="1997-12-05"/>
    <s v="27"/>
    <s v="انثى"/>
    <x v="3"/>
    <s v="552180530"/>
    <s v="N/A"/>
    <s v="N/A"/>
    <s v="مغلق"/>
    <s v="N/A"/>
    <s v="N/A"/>
    <s v="N/A"/>
    <s v="N/A"/>
    <s v="N/A"/>
    <s v="N/A"/>
    <s v="N/A"/>
  </r>
  <r>
    <s v="مواطن"/>
    <s v="1090485374"/>
    <s v="فواز احمد رجاء الرشيدي"/>
    <s v="INV025179370"/>
    <x v="3"/>
    <x v="3"/>
    <s v="N/A"/>
    <s v="مجموعة عمل الأمراض المعدية الآخرى"/>
    <s v="*الملاريا"/>
    <s v="حالة"/>
    <x v="0"/>
    <s v="حالة منتهية لا تتطلب اجراء اضافي"/>
    <x v="3"/>
    <s v="المديرية العامة للشؤون الصحية في المدينة المنورة"/>
    <s v="المدينة المنورة"/>
    <s v="مستشفى خيبر العام"/>
    <s v="المديرية العامة للشؤون الصحية في المدينة المنورة"/>
    <s v="1996-04-30"/>
    <s v="28"/>
    <s v="ذكر"/>
    <x v="4"/>
    <s v="537867703"/>
    <s v="N/A"/>
    <s v="N/A"/>
    <s v="مغلق"/>
    <s v="N/A"/>
    <s v="N/A"/>
    <s v="N/A"/>
    <s v="N/A"/>
    <s v="N/A"/>
    <s v="02-050-0325821"/>
    <s v="Jan 13 2025 11:37AM"/>
  </r>
  <r>
    <s v="مواطن"/>
    <s v="1129867790"/>
    <s v="عبدالله راشد علي المرواني"/>
    <s v="INV025180214"/>
    <x v="4"/>
    <x v="3"/>
    <s v="عالي"/>
    <s v="مجموعة عمل الأمراض المعدية الآخرى"/>
    <s v="*الملاريا"/>
    <s v="حالة"/>
    <x v="1"/>
    <s v="حالة منتهية لا تتطلب اجراء اضافي"/>
    <x v="0"/>
    <s v="المديرية العامة للشؤون الصحية في المدينة المنورة"/>
    <s v="المدينة المنورة"/>
    <s v="مركز الدعيثة للرعاية الصحية الاولية"/>
    <s v="المديرية العامة للشؤون الصحية في المدينة المنورة"/>
    <s v="2003-06-16"/>
    <s v="21"/>
    <s v="ذكر"/>
    <x v="4"/>
    <s v="502718816"/>
    <s v="N/A"/>
    <s v="N/A"/>
    <s v="مفتوح"/>
    <s v="N/A"/>
    <s v="N/A"/>
    <s v="N/A"/>
    <s v="N/A"/>
    <s v="N/A"/>
    <s v="02-050-0328893"/>
    <s v="Jan 16 2025  2:32PM"/>
  </r>
  <r>
    <s v="أخرى"/>
    <s v="TAE043142"/>
    <s v="NIHAD ALLI MBARK HEND"/>
    <s v="INV025180230"/>
    <x v="4"/>
    <x v="0"/>
    <s v="عالي"/>
    <s v="مجموعة عمل الأمراض المعدية الآخرى"/>
    <s v="*الملاريا"/>
    <s v="حالة"/>
    <x v="0"/>
    <s v="حالة منتهية لا تتطلب اجراء اضافي"/>
    <x v="4"/>
    <s v="المديرية العامة للشؤون الصحية في المدينة المنورة"/>
    <s v="المدينة المنورة"/>
    <s v="وحدة الأمراض المعدية"/>
    <s v="المديرية العامة للشؤون الصحية في المدينة المنورة"/>
    <s v="1995-05-23"/>
    <s v="29"/>
    <s v="انثى"/>
    <x v="5"/>
    <s v="547311296"/>
    <s v="Recovered"/>
    <s v="Jan 16 2025 12:00AM"/>
    <s v="مغلق"/>
    <s v="N/A"/>
    <s v="N/A"/>
    <s v="N/A"/>
    <s v=" intermittent Fever"/>
    <s v="Jan 10 2025 12:00AM"/>
    <s v="02-050-0327205"/>
    <s v="Jan 14 2025  7:15PM"/>
  </r>
  <r>
    <s v="مقيم"/>
    <s v="2586541175"/>
    <s v="عبد الجليل   خان"/>
    <s v="INV025182700"/>
    <x v="5"/>
    <x v="1"/>
    <s v="عالي"/>
    <s v="مجموعة عمل الأمراض المعدية الآخرى"/>
    <s v="*الملاريا"/>
    <s v="حالة"/>
    <x v="0"/>
    <s v="حالة منتهية لا تتطلب اجراء اضافي"/>
    <x v="0"/>
    <s v="المديرية العامة للشؤون الصحية في المدينة المنورة"/>
    <s v="المدينة المنورة"/>
    <s v="مركز صحي الأكحل"/>
    <s v="المديرية العامة للشؤون الصحية في المدينة المنورة"/>
    <s v="1990-01-01"/>
    <s v="35"/>
    <s v="ذكر"/>
    <x v="0"/>
    <s v="597447364"/>
    <s v="N/A"/>
    <s v="N/A"/>
    <s v="مغلق"/>
    <s v="N/A"/>
    <s v="N/A"/>
    <s v="N/A"/>
    <s v="حمى ,Fatigue"/>
    <s v="Jan 10 2025 12:00AM,Jan 12 2025 12:00AM"/>
    <s v="02-050-0328922"/>
    <s v="Jan 16 2025  3:00PM"/>
  </r>
  <r>
    <s v="مقيم"/>
    <s v="2539698866"/>
    <s v="لوسي أكيني  ادوي"/>
    <s v="INV025185398"/>
    <x v="6"/>
    <x v="0"/>
    <s v="عالي"/>
    <s v="مجموعة عمل الأمراض المعدية الآخرى"/>
    <s v="*الملاريا"/>
    <s v="حالة"/>
    <x v="0"/>
    <s v="حالة منتهية لا تتطلب اجراء اضافي"/>
    <x v="0"/>
    <s v="المديرية العامة للشؤون الصحية في المدينة المنورة"/>
    <s v="المدينة المنورة"/>
    <s v="مركز صحي العزيزية"/>
    <s v="المديرية العامة للشؤون الصحية في المدينة المنورة"/>
    <s v="1999-03-10"/>
    <s v="25"/>
    <s v="انثى"/>
    <x v="6"/>
    <s v="534334353"/>
    <s v="Recovered"/>
    <s v="Jan 23 2025 12:00AM"/>
    <s v="مفتوح"/>
    <s v="N/A"/>
    <s v="N/A"/>
    <s v="N/A"/>
    <s v="N/A"/>
    <s v="N/A"/>
    <s v="02-050-0336980"/>
    <s v="Jan 27 2025 12:48PM"/>
  </r>
  <r>
    <s v="أخرى"/>
    <s v="EP6254931"/>
    <s v="BURTUKAN KEMAL  KIMO"/>
    <s v="INV025187366"/>
    <x v="7"/>
    <x v="1"/>
    <s v="عالي"/>
    <s v="مجموعة عمل الأمراض المعدية الآخرى"/>
    <s v="*الملاريا"/>
    <s v="حالة"/>
    <x v="0"/>
    <s v="حالة منتهية لا تتطلب اجراء اضافي"/>
    <x v="4"/>
    <s v="المديرية العامة للشؤون الصحية في المدينة المنورة"/>
    <s v="المدينة المنورة"/>
    <s v="مركز الخالدية للرعاية الصحية الأولية"/>
    <s v="المديرية العامة للشؤون الصحية في المدينة المنورة"/>
    <s v="1986-11-14"/>
    <s v="38"/>
    <s v="انثى"/>
    <x v="1"/>
    <s v="566380313"/>
    <s v="Recovered"/>
    <s v="Jan 26 2025 12:00AM"/>
    <s v="مغلق"/>
    <s v="N/A"/>
    <s v="N/A"/>
    <s v="N/A"/>
    <s v=" intermittent Fever"/>
    <s v="Jan 20 2025 12:00AM"/>
    <s v="02-050-0334158"/>
    <s v="Jan 23 2025 12:23PM"/>
  </r>
  <r>
    <s v="مواطن"/>
    <s v="1121731952"/>
    <s v="صفوان فايز محمد الجهني"/>
    <s v="INV025188256"/>
    <x v="8"/>
    <x v="3"/>
    <s v="عالي"/>
    <s v="مجموعة عمل الأمراض المعدية الآخرى"/>
    <s v="*الملاريا"/>
    <s v="حالة"/>
    <x v="0"/>
    <s v="حالة منتهية لا تتطلب اجراء اضافي"/>
    <x v="5"/>
    <s v="المديرية العامة للشؤون الصحية في المدينة المنورة"/>
    <s v="المدينة المنورة"/>
    <s v="مركز صحي العزيزية"/>
    <s v="المديرية العامة للشؤون الصحية في المدينة المنورة"/>
    <s v="2003-08-26"/>
    <s v="21"/>
    <s v="ذكر"/>
    <x v="4"/>
    <s v="546758086"/>
    <s v="N/A"/>
    <s v="N/A"/>
    <s v="مغلق"/>
    <s v="N/A"/>
    <s v="N/A"/>
    <s v="N/A"/>
    <s v="Vomiting,صداع ,Diarrhea, intermittent Fever"/>
    <s v="Jan 23 2025 12:00AM,Jan 23 2025 12:00AM,Jan 23 2025 12:00AM,Jan 23 2025 12:00AM"/>
    <s v="02-050-0337855"/>
    <s v="Jan 28 2025 11:39AM"/>
  </r>
  <r>
    <s v="مقيم"/>
    <s v="2593130210"/>
    <s v="دبريتو   اورلوري"/>
    <s v="INV025190340"/>
    <x v="9"/>
    <x v="1"/>
    <s v="عالي"/>
    <s v="مجموعة عمل الأمراض المعدية الآخرى"/>
    <s v="*الملاريا"/>
    <s v="حالة"/>
    <x v="0"/>
    <s v="حالة منتهية لا تتطلب اجراء اضافي"/>
    <x v="0"/>
    <s v="المديرية العامة للشؤون الصحية في المدينة المنورة"/>
    <s v="المدينة المنورة"/>
    <s v="مركز صحي الهجرة للرعاية الصحية الأولية"/>
    <s v="المديرية العامة للشؤون الصحية في المدينة المنورة"/>
    <s v="2003-06-17"/>
    <s v="21"/>
    <s v="انثى"/>
    <x v="1"/>
    <s v="569538481"/>
    <s v="N/A"/>
    <s v="N/A"/>
    <s v="مفتوح"/>
    <s v="N/A"/>
    <s v="N/A"/>
    <s v="N/A"/>
    <s v="N/A"/>
    <s v="N/A"/>
    <s v="02-050-0335757"/>
    <s v="Jan 26 2025 12:37PM"/>
  </r>
  <r>
    <s v="مقيم"/>
    <s v="2450483686"/>
    <s v="خالد علي احمد الحربي"/>
    <s v="INV025199925"/>
    <x v="10"/>
    <x v="1"/>
    <s v="متوسط"/>
    <s v="مجموعة عمل الأمراض المعدية الآخرى"/>
    <s v="*الملاريا"/>
    <s v="حالة"/>
    <x v="0"/>
    <s v="حالة منتهية لا تتطلب اجراء اضافي"/>
    <x v="0"/>
    <s v="المديرية العامة للشؤون الصحية في المدينة المنورة"/>
    <s v="المدينة المنورة"/>
    <s v="مركز قباء"/>
    <s v="المديرية العامة للشؤون الصحية في المدينة المنورة"/>
    <s v="1974-02-01"/>
    <s v="51"/>
    <s v="ذكر"/>
    <x v="7"/>
    <s v="536998527"/>
    <s v="N/A"/>
    <s v="N/A"/>
    <s v="مفتوح"/>
    <s v="N/A"/>
    <s v="N/A"/>
    <s v="N/A"/>
    <s v="N/A"/>
    <s v="N/A"/>
    <s v="02-050-0344828"/>
    <s v="Feb  6 2025  8:32AM"/>
  </r>
  <r>
    <s v="مقيم"/>
    <s v="2586389633"/>
    <s v="باركيسا   هبقرو"/>
    <s v="INV025199955"/>
    <x v="10"/>
    <x v="0"/>
    <s v="عالي"/>
    <s v="مجموعة عمل الأمراض المعدية الآخرى"/>
    <s v="*الملاريا"/>
    <s v="حالة"/>
    <x v="0"/>
    <s v="حالة منتهية لا تتطلب اجراء اضافي"/>
    <x v="0"/>
    <s v="المديرية العامة للشؤون الصحية في المدينة المنورة"/>
    <s v="المدينة المنورة"/>
    <s v="مركز صحي ابو مرخة"/>
    <s v="المديرية العامة للشؤون الصحية في المدينة المنورة"/>
    <s v="1991-09-12"/>
    <s v="33"/>
    <s v="انثى"/>
    <x v="1"/>
    <s v="562854051"/>
    <s v="N/A"/>
    <s v="N/A"/>
    <s v="مفتوح"/>
    <s v="N/A"/>
    <s v="N/A"/>
    <s v="N/A"/>
    <s v="N/A"/>
    <s v="N/A"/>
    <s v="02-050-0344846"/>
    <s v="Feb  6 2025  8:48AM"/>
  </r>
  <r>
    <s v="مواطن"/>
    <s v="1087134282"/>
    <s v="عبدالله سعود نفاع الرشيدي"/>
    <s v="INV025200036"/>
    <x v="10"/>
    <x v="3"/>
    <s v="متوسط"/>
    <s v="مجموعة عمل الأمراض المعدية الآخرى"/>
    <s v="*الملاريا"/>
    <s v="حالة"/>
    <x v="0"/>
    <s v="حالة منتهية لا تتطلب اجراء اضافي"/>
    <x v="0"/>
    <s v="المديرية العامة للشؤون الصحية في المدينة المنورة"/>
    <s v="المدينة المنورة"/>
    <s v="مركز العاقول للرعاية الصحية الاولية"/>
    <s v="المديرية العامة للشؤون الصحية في المدينة المنورة"/>
    <s v="1993-12-20"/>
    <s v="31"/>
    <s v="ذكر"/>
    <x v="4"/>
    <s v="501063476"/>
    <s v="N/A"/>
    <s v="N/A"/>
    <s v="مفتوح"/>
    <s v="N/A"/>
    <s v="N/A"/>
    <s v="N/A"/>
    <s v="N/A"/>
    <s v="N/A"/>
    <s v="02-050-0344941"/>
    <s v="Feb  6 2025  9:30AM"/>
  </r>
  <r>
    <s v="مواطن"/>
    <s v="1129198162"/>
    <s v="عبدالله ناصر بن علي الحربي"/>
    <s v="INV025200168"/>
    <x v="10"/>
    <x v="3"/>
    <s v="حميدة"/>
    <s v="مجموعة عمل الأمراض المعدية الآخرى"/>
    <s v="*الملاريا"/>
    <s v="حالة"/>
    <x v="0"/>
    <s v="حالة منتهية لا تتطلب اجراء اضافي"/>
    <x v="6"/>
    <s v="المديرية العامة للشؤون الصحية في المدينة المنورة"/>
    <s v="المدينة المنورة"/>
    <s v="مركز الرعاية الصحية الاولية بام العيال"/>
    <s v="المديرية العامة للشؤون الصحية في المدينة المنورة"/>
    <s v="2005-04-26"/>
    <s v="19"/>
    <s v="ذكر"/>
    <x v="4"/>
    <s v="530320219"/>
    <s v="N/A"/>
    <s v="N/A"/>
    <s v="مغلق"/>
    <s v="N/A"/>
    <s v="N/A"/>
    <s v="N/A"/>
    <s v="N/A"/>
    <s v="N/A"/>
    <s v="02-050-0345100,02-050-0352398"/>
    <s v="Feb  6 2025 10:55AM,Feb 17 2025 12:33PM"/>
  </r>
  <r>
    <s v="أخرى"/>
    <s v="P09660525"/>
    <s v="علي النور احمد بركات"/>
    <s v="INV025202835"/>
    <x v="11"/>
    <x v="1"/>
    <s v="عالي"/>
    <s v="مجموعة عمل الأمراض المعدية الآخرى"/>
    <s v="*الملاريا"/>
    <s v="حالة"/>
    <x v="0"/>
    <s v="حالة منتهية لا تتطلب اجراء اضافي"/>
    <x v="0"/>
    <s v="المديرية العامة للشؤون الصحية في المدينة المنورة"/>
    <s v="المدينة المنورة"/>
    <s v="مركز  صحي سيد الشهداء"/>
    <s v="المديرية العامة للشؤون الصحية في المدينة المنورة"/>
    <s v="1987-01-03"/>
    <s v="38"/>
    <s v="ذكر"/>
    <x v="2"/>
    <s v="571796804"/>
    <s v="N/A"/>
    <s v="N/A"/>
    <s v="مفتوح"/>
    <s v="N/A"/>
    <s v="N/A"/>
    <s v="N/A"/>
    <s v="N/A"/>
    <s v="N/A"/>
    <s v="02-050-0349247,02-050-0349256"/>
    <s v="Feb 12 2025 11:47AM,Feb 12 2025 11:49AM"/>
  </r>
  <r>
    <s v="مواطن"/>
    <s v="1119736971"/>
    <s v="عوض خلف  الرويثي"/>
    <s v="INV025205493"/>
    <x v="12"/>
    <x v="3"/>
    <s v="حميدة"/>
    <s v="مجموعة عمل الأمراض المعدية الآخرى"/>
    <s v="*الملاريا"/>
    <s v="حالة"/>
    <x v="2"/>
    <s v="تحت الإجراء"/>
    <x v="7"/>
    <s v="المديرية العامة للشؤون الصحية في المدينة المنورة"/>
    <s v="المدينة المنورة"/>
    <s v="مركز وعيرة للرعاية الصحية الاولية"/>
    <s v="المديرية العامة للشؤون الصحية في المدينة المنورة"/>
    <s v="2003-03-21"/>
    <s v="21"/>
    <s v="ذكر"/>
    <x v="4"/>
    <s v="552903440"/>
    <s v="N/A"/>
    <s v="N/A"/>
    <s v="مفتوح"/>
    <s v="N/A"/>
    <s v="N/A"/>
    <s v="N/A"/>
    <s v="N/A"/>
    <s v="N/A"/>
    <s v="02-050-0350133"/>
    <s v="Feb 13 2025 12:36PM"/>
  </r>
  <r>
    <s v="مواطن"/>
    <s v="1053650709"/>
    <s v="نافع حمدان قاسم الحربي"/>
    <s v="INV025206682"/>
    <x v="13"/>
    <x v="3"/>
    <s v="حميدة"/>
    <s v="مجموعة عمل الأمراض المعدية الآخرى"/>
    <s v="*الملاريا"/>
    <s v="حالة"/>
    <x v="2"/>
    <s v="تنويم"/>
    <x v="8"/>
    <s v="المديرية العامة للشؤون الصحية في المدينة المنورة"/>
    <s v="المدينة المنورة"/>
    <s v="مركز صحي القاحة"/>
    <s v="المديرية العامة للشؤون الصحية في المدينة المنورة"/>
    <s v="1988-03-23"/>
    <s v="36"/>
    <s v="ذكر"/>
    <x v="4"/>
    <s v="501806088"/>
    <s v="N/A"/>
    <s v="N/A"/>
    <s v="مفتوح"/>
    <s v="N/A"/>
    <s v="N/A"/>
    <s v="N/A"/>
    <s v="N/A"/>
    <s v="N/A"/>
    <s v="02-050-0351439"/>
    <s v="Feb 16 2025 12:37PM"/>
  </r>
  <r>
    <s v="أخرى"/>
    <s v="EQ1233060"/>
    <s v="NEJASH LENCHA  HUSSAIN"/>
    <s v="INV025206695"/>
    <x v="13"/>
    <x v="1"/>
    <s v="متوسط"/>
    <s v="مجموعة عمل الأمراض المعدية الآخرى"/>
    <s v="*الملاريا"/>
    <s v="حالة"/>
    <x v="2"/>
    <s v="معلَق"/>
    <x v="5"/>
    <s v="المديرية العامة للشؤون الصحية في المدينة المنورة"/>
    <s v="المدينة المنورة"/>
    <s v="مركز صحي باقدو الدويخلة للرعاية الصحية الأولية"/>
    <s v="المديرية العامة للشؤون الصحية في المدينة المنورة"/>
    <s v="2001-08-30"/>
    <s v="23"/>
    <s v="ذكر"/>
    <x v="1"/>
    <s v="505609842"/>
    <s v="N/A"/>
    <s v="N/A"/>
    <s v="مفتوح"/>
    <s v="N/A"/>
    <s v="N/A"/>
    <s v="N/A"/>
    <s v="N/A"/>
    <s v="N/A"/>
    <s v="02-050-0351129,02-050-0353196"/>
    <s v="Feb 16 2025 10:10AM,Feb 18 2025 11:43AM"/>
  </r>
  <r>
    <s v="أخرى"/>
    <s v="9010460079"/>
    <s v="علم جميل  جميل"/>
    <s v="INV025206753"/>
    <x v="13"/>
    <x v="1"/>
    <s v="متوسط"/>
    <s v="مجموعة عمل الأمراض المعدية الآخرى"/>
    <s v="*الملاريا"/>
    <s v="حالة"/>
    <x v="2"/>
    <s v="معلَق"/>
    <x v="5"/>
    <s v="المديرية العامة للشؤون الصحية في المدينة المنورة"/>
    <s v="المدينة المنورة"/>
    <s v="وحدة الأمراض المعدية"/>
    <s v="المديرية العامة للشؤون الصحية في المدينة المنورة"/>
    <s v="2004-12-26"/>
    <s v="20"/>
    <s v="ذكر"/>
    <x v="1"/>
    <s v="555555555"/>
    <s v="N/A"/>
    <s v="N/A"/>
    <s v="مفتوح"/>
    <s v="N/A"/>
    <s v="N/A"/>
    <s v="N/A"/>
    <s v="N/A"/>
    <s v="N/A"/>
    <s v="02-050-0351173,02-050-0352637"/>
    <s v="Feb 16 2025 10:25AM,Feb 17 2025  3:05PM"/>
  </r>
  <r>
    <s v="أخرى"/>
    <s v="6136034706"/>
    <s v="MUZAKIRA   ULLAH"/>
    <s v="INV025207926"/>
    <x v="14"/>
    <x v="2"/>
    <s v="عالي جدًا - معتمر من الخارج"/>
    <s v="مجموعة عمل الأمراض المعدية الآخرى"/>
    <s v="*الملاريا"/>
    <s v="حالة"/>
    <x v="1"/>
    <s v="حالة منتهية لا تتطلب اجراء اضافي"/>
    <x v="1"/>
    <s v="المديرية العامة للشؤون الصحية في المدينة المنورة"/>
    <s v="المدينة المنورة"/>
    <s v="مستشفى السلام"/>
    <s v="المديرية العامة للشؤون الصحية في المدينة المنورة"/>
    <s v="1955-01-01"/>
    <s v="70"/>
    <s v="انثى"/>
    <x v="0"/>
    <s v="582205956"/>
    <s v="N/A"/>
    <s v="N/A"/>
    <s v="مغلق"/>
    <s v="N/A"/>
    <s v="N/A"/>
    <s v="N/A"/>
    <s v="N/A"/>
    <s v="N/A"/>
    <s v="02-050-0352320"/>
    <s v="Feb 17 2025 11:55AM"/>
  </r>
  <r>
    <s v="مواطن"/>
    <s v="1087903744"/>
    <s v="محمد فالح ابن محمد الحربي"/>
    <s v="INV025208710"/>
    <x v="15"/>
    <x v="3"/>
    <s v="خبيثة"/>
    <s v="مجموعة عمل الأمراض المعدية الآخرى"/>
    <s v="*الملاريا"/>
    <s v="حالة"/>
    <x v="0"/>
    <s v="نقل داخلي"/>
    <x v="9"/>
    <s v="المديرية العامة للشؤون الصحية في المدينة المنورة"/>
    <s v="المدينة المنورة"/>
    <s v="مستشفى الميقات العام"/>
    <s v="المديرية العامة للشؤون الصحية في المدينة المنورة"/>
    <s v="1994-09-23"/>
    <s v="30"/>
    <s v="ذكر"/>
    <x v="4"/>
    <s v="566494271"/>
    <s v="N/A"/>
    <s v="N/A"/>
    <s v="مفتوح"/>
    <s v="N/A"/>
    <s v="N/A"/>
    <s v="N/A"/>
    <s v="N/A"/>
    <s v="N/A"/>
    <s v="02-050-0352990"/>
    <s v="Feb 18 2025  9:15AM"/>
  </r>
  <r>
    <s v="مواطن"/>
    <s v="1073564112"/>
    <s v="محمد عبدالله بن عتيق الصبحي"/>
    <s v="INV025209776"/>
    <x v="16"/>
    <x v="3"/>
    <s v="خبيثة"/>
    <s v="مجموعة عمل الأمراض المعدية الآخرى"/>
    <s v="*الملاريا"/>
    <s v="حالة"/>
    <x v="2"/>
    <s v="حالة منتهية لا تتطلب اجراء اضافي"/>
    <x v="5"/>
    <s v="المديرية العامة للشؤون الصحية في المدينة المنورة"/>
    <s v="المدينة المنورة"/>
    <s v="مركز صحي بدر"/>
    <s v="المديرية العامة للشؤون الصحية في المدينة المنورة"/>
    <s v="1991-10-02"/>
    <s v="33"/>
    <s v="ذكر"/>
    <x v="4"/>
    <s v="532039009"/>
    <s v="N/A"/>
    <s v="N/A"/>
    <s v="مفتوح"/>
    <s v="N/A"/>
    <s v="N/A"/>
    <s v="N/A"/>
    <s v="N/A"/>
    <s v="N/A"/>
    <s v="02-050-0354159"/>
    <s v="Feb 19 2025 12:15PM"/>
  </r>
  <r>
    <s v="أخرى"/>
    <s v="P11238164"/>
    <s v="عبدالغفار خليفة  محمد"/>
    <s v="INV025210758"/>
    <x v="17"/>
    <x v="1"/>
    <s v="عالي"/>
    <s v="مجموعة عمل الأمراض المعدية الآخرى"/>
    <s v="*الملاريا"/>
    <s v="حالة"/>
    <x v="0"/>
    <s v="حالة منتهية لا تتطلب اجراء اضافي"/>
    <x v="0"/>
    <s v="المديرية العامة للشؤون الصحية في المدينة المنورة"/>
    <s v="المدينة المنورة"/>
    <s v="مركز صحي الأزهري"/>
    <s v="المديرية العامة للشؤون الصحية في المدينة المنورة"/>
    <s v="1952-01-01"/>
    <s v="73"/>
    <s v="ذكر"/>
    <x v="2"/>
    <s v="543295227"/>
    <s v="N/A"/>
    <s v="N/A"/>
    <s v="مغلق"/>
    <s v="N/A"/>
    <s v="N/A"/>
    <s v="N/A"/>
    <s v="حمى ,Myalgia"/>
    <s v="Feb 20 2025 12:00AM,Feb 20 2025 12:00AM"/>
    <s v="02-050-0355121"/>
    <s v="Feb 20 2025  2:36PM"/>
  </r>
  <r>
    <s v="مواطن"/>
    <s v="1093845517"/>
    <s v="راكان عباس مهل الرشيدي"/>
    <s v="INV025211132"/>
    <x v="18"/>
    <x v="3"/>
    <s v="خبيثة"/>
    <s v="مجموعة عمل الأمراض المعدية الآخرى"/>
    <s v="*الملاريا"/>
    <s v="حالة"/>
    <x v="0"/>
    <s v="نقل داخلي"/>
    <x v="9"/>
    <s v="المديرية العامة للشؤون الصحية في المدينة المنورة"/>
    <s v="المدينة المنورة"/>
    <s v="مستشفى الأمير سلطان للقوات المسلحة بالمدينة المنورة"/>
    <s v="المديرية العامة للشؤون الصحية في المدينة المنورة"/>
    <s v="1995-11-24"/>
    <s v="29"/>
    <s v="ذكر"/>
    <x v="4"/>
    <s v="550168043"/>
    <s v="N/A"/>
    <s v="N/A"/>
    <s v="مفتوح"/>
    <s v="N/A"/>
    <s v="N/A"/>
    <s v="N/A"/>
    <s v="N/A"/>
    <s v="N/A"/>
    <s v="02-050-0355429"/>
    <s v="Feb 21 2025 11:09PM"/>
  </r>
  <r>
    <s v="مقيم"/>
    <s v="2437253756"/>
    <s v="زينب محمدنور سعيد عثمان"/>
    <s v="INV025212100"/>
    <x v="19"/>
    <x v="0"/>
    <s v="متوسط"/>
    <s v="مجموعة عمل الأمراض المعدية الآخرى"/>
    <s v="*الملاريا"/>
    <s v="حالة"/>
    <x v="2"/>
    <s v="معلَق"/>
    <x v="0"/>
    <s v="المديرية العامة للشؤون الصحية في المدينة المنورة"/>
    <s v="المدينة المنورة"/>
    <s v="مستشفى الميقات العام"/>
    <s v="المديرية العامة للشؤون الصحية في المدينة المنورة"/>
    <s v="1991-11-28"/>
    <s v="33"/>
    <s v="انثى"/>
    <x v="2"/>
    <s v="515758348"/>
    <s v="N/A"/>
    <s v="N/A"/>
    <s v="مفتوح"/>
    <s v="N/A"/>
    <s v="N/A"/>
    <s v="N/A"/>
    <s v="N/A"/>
    <s v="N/A"/>
    <s v="02-050-0356252"/>
    <s v="Feb 24 2025  8:36AM"/>
  </r>
  <r>
    <s v="أخرى"/>
    <s v="6136092658"/>
    <s v="TOUNKOUCH HAME   SAIDI"/>
    <s v="INV025212633"/>
    <x v="19"/>
    <x v="2"/>
    <s v="عالي جدًا - معتمر من الداخل"/>
    <s v="مجموعة عمل الأمراض المعدية الآخرى"/>
    <s v="*الملاريا"/>
    <s v="حالة"/>
    <x v="2"/>
    <s v="حالة منتهية لا تتطلب اجراء اضافي"/>
    <x v="1"/>
    <s v="المديرية العامة للشؤون الصحية في المدينة المنورة"/>
    <s v="المدينة المنورة"/>
    <s v="مستشفى السلام"/>
    <s v="المديرية العامة للشؤون الصحية في المدينة المنورة"/>
    <s v="1950-01-01"/>
    <s v="75"/>
    <s v="ذكر"/>
    <x v="8"/>
    <s v="568684705"/>
    <s v="N/A"/>
    <s v="N/A"/>
    <s v="مفتوح"/>
    <s v="N/A"/>
    <s v="N/A"/>
    <s v="N/A"/>
    <s v="N/A"/>
    <s v="N/A"/>
    <s v="02-050-0356766"/>
    <s v="Feb 24 2025 12:35PM"/>
  </r>
  <r>
    <s v="مواطن"/>
    <s v="1079538771"/>
    <s v="بلال نويفع فيصل الجراري"/>
    <s v="INV025213050"/>
    <x v="20"/>
    <x v="4"/>
    <s v="متوسط"/>
    <s v="مجموعة عمل الأمراض المعدية الآخرى"/>
    <s v="*الملاريا"/>
    <s v="حالة"/>
    <x v="2"/>
    <s v="معلَق"/>
    <x v="5"/>
    <s v="المديرية العامة للشؤون الصحية في المدينة المنورة"/>
    <s v="المدينة المنورة"/>
    <s v="مستشفى وادي الفرع"/>
    <s v="المديرية العامة للشؤون الصحية في المدينة المنورة"/>
    <s v="1992-11-09"/>
    <s v="32"/>
    <s v="ذكر"/>
    <x v="4"/>
    <s v="536400480"/>
    <s v="N/A"/>
    <s v="N/A"/>
    <s v="مفتوح"/>
    <s v="N/A"/>
    <s v="N/A"/>
    <s v="N/A"/>
    <s v="N/A"/>
    <s v="N/A"/>
    <s v="02-050-0357210"/>
    <s v="Feb 25 2025  8:53AM"/>
  </r>
  <r>
    <s v="مقيم"/>
    <s v="2531611313"/>
    <s v="محمد جمال علي عبدالله عفيف"/>
    <s v="INV025218604"/>
    <x v="21"/>
    <x v="0"/>
    <s v="متوسط"/>
    <s v="مجموعة عمل الأمراض المعدية الآخرى"/>
    <s v="*الملاريا"/>
    <s v="حالة"/>
    <x v="0"/>
    <s v="تنويم"/>
    <x v="8"/>
    <s v="المديرية العامة للشؤون الصحية في المدينة المنورة"/>
    <s v="المدينة المنورة"/>
    <s v="مركز صحي بدر"/>
    <s v="المديرية العامة للشؤون الصحية في المدينة المنورة"/>
    <s v="2000-02-01"/>
    <s v="25"/>
    <s v="ذكر"/>
    <x v="7"/>
    <s v="542161070"/>
    <s v="Recovered"/>
    <s v="Mar 10 2025 12:00AM"/>
    <s v="مغلق"/>
    <s v="N/A"/>
    <s v="N/A"/>
    <s v="N/A"/>
    <s v="N/A"/>
    <s v="N/A"/>
    <s v="02-050-0362683"/>
    <s v="Mar  8 2025  1:06AM"/>
  </r>
  <r>
    <s v="مقيم"/>
    <s v="2440916605"/>
    <s v="ابراهيم الطيب احمد موسي"/>
    <s v="INV025219307"/>
    <x v="22"/>
    <x v="0"/>
    <s v="متوسط"/>
    <s v="مجموعة عمل الأمراض المعدية الآخرى"/>
    <s v="*الملاريا"/>
    <s v="حالة"/>
    <x v="0"/>
    <s v="حالة منتهية لا تتطلب اجراء اضافي"/>
    <x v="0"/>
    <s v="المديرية العامة للشؤون الصحية في المدينة المنورة"/>
    <s v="المدينة المنورة"/>
    <s v="مركز شوران للرعاية الصحية الأولية"/>
    <s v="المديرية العامة للشؤون الصحية في المدينة المنورة"/>
    <s v="1996-05-18"/>
    <s v="28"/>
    <s v="ذكر"/>
    <x v="2"/>
    <s v="578383845"/>
    <s v="N/A"/>
    <s v="N/A"/>
    <s v="مغلق"/>
    <s v="N/A"/>
    <s v="N/A"/>
    <s v="N/A"/>
    <s v="N/A"/>
    <s v="N/A"/>
    <s v="02-050-0363358"/>
    <s v="Mar  9 2025 10:57AM"/>
  </r>
  <r>
    <s v="أخرى"/>
    <s v="p10471215"/>
    <s v="رابحة علي  الطاهر"/>
    <s v="INV025219315"/>
    <x v="22"/>
    <x v="1"/>
    <s v="متوسط"/>
    <s v="مجموعة عمل الأمراض المعدية الآخرى"/>
    <s v="*الملاريا"/>
    <s v="حالة"/>
    <x v="0"/>
    <s v="حالة منتهية لا تتطلب اجراء اضافي"/>
    <x v="0"/>
    <s v="المديرية العامة للشؤون الصحية في المدينة المنورة"/>
    <s v="المدينة المنورة"/>
    <s v="مركز قباء"/>
    <s v="المديرية العامة للشؤون الصحية في المدينة المنورة"/>
    <s v="1965-01-01"/>
    <s v="60"/>
    <s v="انثى"/>
    <x v="2"/>
    <s v="550401646"/>
    <s v="N/A"/>
    <s v="N/A"/>
    <s v="مغلق"/>
    <s v="N/A"/>
    <s v="N/A"/>
    <s v="N/A"/>
    <s v="N/A"/>
    <s v="N/A"/>
    <s v="02-050-0363372"/>
    <s v="Mar  9 2025 11:00AM"/>
  </r>
  <r>
    <s v="مقيم"/>
    <s v="2527122556"/>
    <s v="عمار جاه النبي النور عبد الله"/>
    <s v="INV025219464"/>
    <x v="22"/>
    <x v="0"/>
    <s v="عالي"/>
    <s v="مجموعة عمل الأمراض المعدية الآخرى"/>
    <s v="*الملاريا"/>
    <s v="حالة"/>
    <x v="0"/>
    <s v="حالة منتهية لا تتطلب اجراء اضافي"/>
    <x v="0"/>
    <s v="المديرية العامة للشؤون الصحية في المدينة المنورة"/>
    <s v="المدينة المنورة"/>
    <s v="مركز الرعاية الصحية الأولية بشرق خميس مشيط"/>
    <s v="المديرية العامة للشؤون الصحية في عسير"/>
    <s v="1994-01-01"/>
    <s v="31"/>
    <s v="ذكر"/>
    <x v="2"/>
    <s v="592614589"/>
    <s v="N/A"/>
    <s v="N/A"/>
    <s v="مفتوح"/>
    <s v="N/A"/>
    <s v="N/A"/>
    <s v="N/A"/>
    <s v="N/A"/>
    <s v="N/A"/>
    <s v="02-050-0363492,02-050-0363495"/>
    <s v="Mar  9 2025 11:35AM,Mar  9 2025 11:39AM"/>
  </r>
  <r>
    <s v="مواطن"/>
    <s v="1031658360"/>
    <s v="بندر بن احمد بن حسين العبيدي"/>
    <s v="INV025220402"/>
    <x v="23"/>
    <x v="1"/>
    <s v="متوسط"/>
    <s v="مجموعة عمل الأمراض المعدية الآخرى"/>
    <s v="*الملاريا"/>
    <s v="حالة"/>
    <x v="0"/>
    <s v="حالة منتهية لا تتطلب اجراء اضافي"/>
    <x v="0"/>
    <s v="المديرية العامة للشؤون الصحية في المدينة المنورة"/>
    <s v="المدينة المنورة"/>
    <s v="مركز الرعايه الصحيه الأوليه بأبو ضباع"/>
    <s v="المديرية العامة للشؤون الصحية في المدينة المنورة"/>
    <s v="1966-10-15"/>
    <s v="58"/>
    <s v="ذكر"/>
    <x v="4"/>
    <s v="567207915"/>
    <s v="N/A"/>
    <s v="N/A"/>
    <s v="مغلق"/>
    <s v="N/A"/>
    <s v="N/A"/>
    <s v="N/A"/>
    <s v="N/A"/>
    <s v="N/A"/>
    <s v="02-050-0364636"/>
    <s v="Mar 10 2025  1:06PM"/>
  </r>
  <r>
    <s v="أخرى"/>
    <s v="605793747"/>
    <s v="ALI MOHAMMED  ZEEN"/>
    <s v="INV025220441"/>
    <x v="23"/>
    <x v="0"/>
    <s v="متوسط"/>
    <s v="مجموعة عمل الأمراض المعدية الآخرى"/>
    <s v="*الملاريا"/>
    <s v="حالة"/>
    <x v="0"/>
    <s v="حالة منتهية لا تتطلب اجراء اضافي"/>
    <x v="0"/>
    <s v="المديرية العامة للشؤون الصحية في المدينة المنورة"/>
    <s v="المدينة المنورة"/>
    <s v="مركز صحي الصافية"/>
    <s v="المديرية العامة للشؤون الصحية في المدينة المنورة"/>
    <s v="1976-04-15"/>
    <s v="49"/>
    <s v="ذكر"/>
    <x v="9"/>
    <s v="535786598"/>
    <s v="N/A"/>
    <s v="N/A"/>
    <s v="مغلق"/>
    <s v="N/A"/>
    <s v="N/A"/>
    <s v="N/A"/>
    <s v="N/A"/>
    <s v="N/A"/>
    <s v="02-050-0364638"/>
    <s v="Mar 10 2025  1:08PM"/>
  </r>
  <r>
    <s v="رقم حدود"/>
    <s v="4504942287"/>
    <s v="اميره حسب الرسول احمد محمد زين"/>
    <s v="INV025221930"/>
    <x v="24"/>
    <x v="0"/>
    <s v="عالي جدًا - معتمر من الخارج"/>
    <s v="مجموعة عمل الأمراض المعدية الآخرى"/>
    <s v="*الملاريا"/>
    <s v="حالة"/>
    <x v="2"/>
    <s v="معلَق"/>
    <x v="5"/>
    <s v="المديرية العامة للشؤون الصحية في المدينة المنورة"/>
    <s v="المدينة المنورة"/>
    <s v="وحدة الأمراض المعدية"/>
    <s v="المديرية العامة للشؤون الصحية في المدينة المنورة"/>
    <s v="1990-01-01"/>
    <s v="35"/>
    <s v="انثى"/>
    <x v="2"/>
    <s v="501167838"/>
    <s v="N/A"/>
    <s v="N/A"/>
    <s v="مفتوح"/>
    <s v="N/A"/>
    <s v="N/A"/>
    <s v="N/A"/>
    <s v="N/A"/>
    <s v="N/A"/>
    <s v="02-050-0366029"/>
    <s v="Mar 12 2025 11:35AM"/>
  </r>
  <r>
    <s v="أخرى"/>
    <s v="P09513714"/>
    <s v="محمد احمد  ابو بكر محمد"/>
    <s v="INV025223860"/>
    <x v="25"/>
    <x v="1"/>
    <s v="عالي"/>
    <s v="مجموعة عمل الأمراض المعدية الآخرى"/>
    <s v="*الملاريا"/>
    <s v="حالة"/>
    <x v="0"/>
    <s v="حالة منتهية لا تتطلب اجراء اضافي"/>
    <x v="0"/>
    <s v="المديرية العامة للشؤون الصحية في المدينة المنورة"/>
    <s v="المدينة المنورة"/>
    <s v="مركز صحي ابو مرخة"/>
    <s v="المديرية العامة للشؤون الصحية في المدينة المنورة"/>
    <s v="1995-10-29"/>
    <s v="29"/>
    <s v="ذكر"/>
    <x v="2"/>
    <s v="532989802"/>
    <s v="N/A"/>
    <s v="N/A"/>
    <s v="مغلق"/>
    <s v="N/A"/>
    <s v="N/A"/>
    <s v="N/A"/>
    <s v="N/A"/>
    <s v="N/A"/>
    <s v="02-050-0368292"/>
    <s v="Mar 17 2025 10:17AM"/>
  </r>
  <r>
    <s v="أخرى"/>
    <s v="6138577200"/>
    <s v="ABDULLAHI HARUNA   TIJJANI"/>
    <s v="INV025224171"/>
    <x v="25"/>
    <x v="1"/>
    <s v="عالي جدًا - معتمر من الخارج"/>
    <s v="مجموعة عمل الأمراض المعدية الآخرى"/>
    <s v="*الملاريا"/>
    <s v="بلاغ أولي"/>
    <x v="0"/>
    <s v="حالة منتهية لا تتطلب اجراء اضافي"/>
    <x v="10"/>
    <s v="المديرية العامة للشؤون الصحية في المدينة المنورة"/>
    <s v="المدينة المنورة"/>
    <s v="مركز صحي باب جبريل للرعاية الصحية الأولية"/>
    <s v="المديرية العامة للشؤون الصحية في المدينة المنورة"/>
    <s v="1993-01-01"/>
    <s v="32"/>
    <s v="ذكر"/>
    <x v="10"/>
    <s v="548952552"/>
    <s v="N/A"/>
    <s v="N/A"/>
    <s v="مغلق"/>
    <s v="N/A"/>
    <s v="N/A"/>
    <s v="N/A"/>
    <s v=" intermittent Fever"/>
    <s v="Mar 14 2025 12:00AM"/>
    <s v="02-050-0368102,02-050-0371803"/>
    <s v="Mar 16 2025 10:41PM,Mar 23 2025  8:32PM"/>
  </r>
  <r>
    <s v="مواطن"/>
    <s v="1065803528"/>
    <s v="حميد حامد بن حميد الحربي"/>
    <s v="INV025225128"/>
    <x v="26"/>
    <x v="0"/>
    <s v="عالي"/>
    <s v="مجموعة عمل الأمراض المعدية الآخرى"/>
    <s v="*الملاريا"/>
    <s v="حالة"/>
    <x v="0"/>
    <s v="حالة منتهية لا تتطلب اجراء اضافي"/>
    <x v="6"/>
    <s v="المديرية العامة للشؤون الصحية في المدينة المنورة"/>
    <s v="المدينة المنورة"/>
    <s v="مركز الرعايه الصحيه الأوليه بأبو ضباع"/>
    <s v="المديرية العامة للشؤون الصحية في المدينة المنورة"/>
    <s v="1987-12-10"/>
    <s v="37"/>
    <s v="ذكر"/>
    <x v="4"/>
    <s v="530789923"/>
    <s v="N/A"/>
    <s v="N/A"/>
    <s v="مغلق"/>
    <s v="N/A"/>
    <s v="N/A"/>
    <s v="N/A"/>
    <s v="N/A"/>
    <s v="N/A"/>
    <s v="02-050-0369714"/>
    <s v="Mar 19 2025  9:13AM"/>
  </r>
  <r>
    <s v="مقيم"/>
    <s v="2254002559"/>
    <s v="ابو بكر احمد علي ابراهيم"/>
    <s v="INV025227805"/>
    <x v="27"/>
    <x v="0"/>
    <s v="عالي"/>
    <s v="مجموعة عمل الأمراض المعدية الآخرى"/>
    <s v="*الملاريا"/>
    <s v="حالة"/>
    <x v="0"/>
    <s v="معلَق"/>
    <x v="11"/>
    <s v="المديرية العامة للشؤون الصحية في المدينة المنورة"/>
    <s v="المدينة المنورة"/>
    <s v="مركز صحي السميري"/>
    <s v="المديرية العامة للشؤون الصحية في المدينة المنورة"/>
    <s v="1969-01-30"/>
    <s v="56"/>
    <s v="ذكر"/>
    <x v="2"/>
    <s v="581518039"/>
    <s v="N/A"/>
    <s v="N/A"/>
    <s v="مفتوح"/>
    <s v="N/A"/>
    <s v="N/A"/>
    <s v="N/A"/>
    <s v="N/A"/>
    <s v="N/A"/>
    <s v="02-050-0371704"/>
    <s v="Mar 23 2025  2:26PM"/>
  </r>
  <r>
    <s v="مقيم"/>
    <s v="2361772219"/>
    <s v="فهد عبدالله مرشد عبدالله المطحني"/>
    <s v="INV025227813"/>
    <x v="27"/>
    <x v="0"/>
    <s v="عالي"/>
    <s v="مجموعة عمل الأمراض المعدية الآخرى"/>
    <s v="*الملاريا"/>
    <s v="حالة"/>
    <x v="0"/>
    <s v="معلَق"/>
    <x v="11"/>
    <s v="المديرية العامة للشؤون الصحية في المدينة المنورة"/>
    <s v="المدينة المنورة"/>
    <s v="مركز صحي الشرقية"/>
    <s v="المديرية العامة للشؤون الصحية في المدينة المنورة"/>
    <s v="1987-04-04"/>
    <s v="38"/>
    <s v="ذكر"/>
    <x v="7"/>
    <s v="508764471"/>
    <s v="N/A"/>
    <s v="N/A"/>
    <s v="مفتوح"/>
    <s v="N/A"/>
    <s v="N/A"/>
    <s v="N/A"/>
    <s v="N/A"/>
    <s v="N/A"/>
    <s v="02-050-0371709"/>
    <s v="Mar 23 2025  2:35PM"/>
  </r>
  <r>
    <s v="أخرى"/>
    <s v="P12914902"/>
    <s v="عائشة النزير محمد ادم"/>
    <s v="INV025229010"/>
    <x v="28"/>
    <x v="1"/>
    <s v="متوسط"/>
    <s v="مجموعة عمل الأمراض المعدية الآخرى"/>
    <s v="*الملاريا"/>
    <s v="حالة"/>
    <x v="0"/>
    <s v="تحت الإجراء"/>
    <x v="12"/>
    <s v="المديرية العامة للشؤون الصحية في المدينة المنورة"/>
    <s v="المدينة المنورة"/>
    <s v="مركز قباء"/>
    <s v="المديرية العامة للشؤون الصحية في المدينة المنورة"/>
    <s v="2017-02-01"/>
    <s v="8"/>
    <s v="انثى"/>
    <x v="2"/>
    <s v="599864283"/>
    <s v="N/A"/>
    <s v="N/A"/>
    <s v="مفتوح"/>
    <s v="N/A"/>
    <s v="N/A"/>
    <s v="N/A"/>
    <s v="N/A"/>
    <s v="N/A"/>
    <s v="02-050-0373377"/>
    <s v="Mar 27 2025  9:00AM"/>
  </r>
  <r>
    <s v="أخرى"/>
    <s v="P11769905"/>
    <s v="محمد النور  محمد"/>
    <s v="INV025231507"/>
    <x v="29"/>
    <x v="0"/>
    <s v="عالي جدًا - معتمر من الخارج"/>
    <s v="مجموعة عمل الأمراض المعدية الآخرى"/>
    <s v="*الملاريا"/>
    <s v="حالة"/>
    <x v="3"/>
    <s v="تحت الإجراء"/>
    <x v="4"/>
    <s v="المديرية العامة للشؤون الصحية في المدينة المنورة"/>
    <s v="المدينة المنورة"/>
    <s v="مركز صحي العوالي للرعاية الصحية الأولية بالمدينة المنورة"/>
    <s v="المديرية العامة للشؤون الصحية في المدينة المنورة"/>
    <s v="1996-11-19"/>
    <s v="28"/>
    <s v="ذكر"/>
    <x v="2"/>
    <s v="537337532"/>
    <s v="N/A"/>
    <s v="N/A"/>
    <s v="مفتوح"/>
    <s v="N/A"/>
    <s v="N/A"/>
    <s v="N/A"/>
    <s v="N/A"/>
    <s v="N/A"/>
    <s v="02-050-0374991"/>
    <s v="Apr  2 2025  3:47AM"/>
  </r>
  <r>
    <s v="مواطن"/>
    <s v="1121649683"/>
    <s v="متعب عليان  العوفي"/>
    <s v="INV025231631"/>
    <x v="29"/>
    <x v="3"/>
    <s v="خبيثة"/>
    <s v="مجموعة عمل الأمراض المعدية الآخرى"/>
    <s v="*الملاريا"/>
    <s v="حالة"/>
    <x v="0"/>
    <s v="إحالة خارجية"/>
    <x v="9"/>
    <s v="المديرية العامة للشؤون الصحية في المدينة المنورة"/>
    <s v="المدينة المنورة"/>
    <s v="مركز العاقول للرعاية الصحية الاولية"/>
    <s v="المديرية العامة للشؤون الصحية في المدينة المنورة"/>
    <s v="1996-01-31"/>
    <s v="29"/>
    <s v="ذكر"/>
    <x v="4"/>
    <s v="538436480"/>
    <s v="N/A"/>
    <s v="N/A"/>
    <s v="مفتوح"/>
    <s v="N/A"/>
    <s v="N/A"/>
    <s v="N/A"/>
    <s v="N/A"/>
    <s v="N/A"/>
    <s v="02-050-0374925,02-050-0374992"/>
    <s v="Apr  1 2025  2:47PM,Apr  2 2025  3:49AM"/>
  </r>
  <r>
    <s v="أخرى"/>
    <s v="p10188493"/>
    <s v="عمرو الصادق  جعفر"/>
    <s v="INV025232089"/>
    <x v="30"/>
    <x v="0"/>
    <s v="متوسط"/>
    <s v="مجموعة عمل الأمراض المعدية الآخرى"/>
    <s v="*الملاريا"/>
    <s v="حالة"/>
    <x v="0"/>
    <s v="تحت الإجراء"/>
    <x v="4"/>
    <s v="المديرية العامة للشؤون الصحية في المدينة المنورة"/>
    <s v="المدينة المنورة"/>
    <s v="مركز صحي العوالي للرعاية الصحية الأولية بالمدينة المنورة"/>
    <s v="المديرية العامة للشؤون الصحية في المدينة المنورة"/>
    <s v="2008-01-11"/>
    <s v="17"/>
    <s v="ذكر"/>
    <x v="2"/>
    <n v="500917554"/>
    <s v="N/A"/>
    <s v="N/A"/>
    <s v="مفتوح"/>
    <s v="N/A"/>
    <s v="N/A"/>
    <s v="N/A"/>
    <s v=" intermittent Fever"/>
    <s v="Mar 25 2025 12:00AM"/>
    <s v="02-050-0375315"/>
    <s v="Apr  2 2025  4:03PM"/>
  </r>
  <r>
    <s v="أخرى"/>
    <s v="6139106403"/>
    <s v="مواهب العوض ابراهيم  علي"/>
    <s v="INV025232307"/>
    <x v="31"/>
    <x v="1"/>
    <s v="عالي جدًا - معتمر من الخارج"/>
    <s v="مجموعة عمل الأمراض المعدية الآخرى"/>
    <s v="*الملاريا"/>
    <s v="حالة"/>
    <x v="2"/>
    <s v="تحت الإجراء"/>
    <x v="1"/>
    <s v="المديرية العامة للشؤون الصحية في المدينة المنورة"/>
    <s v="المدينة المنورة"/>
    <s v="مستشفى السلام"/>
    <s v="المديرية العامة للشؤون الصحية في المدينة المنورة"/>
    <s v="1980-01-08"/>
    <s v="45"/>
    <s v="انثى"/>
    <x v="2"/>
    <s v="561976239"/>
    <s v="N/A"/>
    <s v="N/A"/>
    <s v="مفتوح"/>
    <s v="N/A"/>
    <s v="N/A"/>
    <s v="N/A"/>
    <s v="N/A"/>
    <s v="N/A"/>
    <s v="02-050-0375451"/>
    <s v="Apr  3 2025  9:24AM"/>
  </r>
  <r>
    <s v="أخرى"/>
    <s v="NT1341762"/>
    <s v="MOHAMMED HAMZAH AKHTAR AKHTAR"/>
    <s v="INV025233102"/>
    <x v="32"/>
    <x v="1"/>
    <s v="عالي جدًا - معتمر من الخارج"/>
    <s v="مجموعة عمل الأمراض المعدية الآخرى"/>
    <s v="*الملاريا"/>
    <s v="حالة"/>
    <x v="3"/>
    <s v="تحت الإجراء"/>
    <x v="4"/>
    <s v="المديرية العامة للشؤون الصحية في المدينة المنورة"/>
    <s v="المدينة المنورة"/>
    <s v="مستشفى المدينة المنورة العام"/>
    <s v="المديرية العامة للشؤون الصحية في المدينة المنورة"/>
    <s v="1997-07-12"/>
    <s v="27"/>
    <s v="ذكر"/>
    <x v="0"/>
    <s v="511254574"/>
    <s v="N/A"/>
    <s v="N/A"/>
    <s v="مفتوح"/>
    <s v="N/A"/>
    <s v="N/A"/>
    <s v="N/A"/>
    <s v="N/A"/>
    <s v="N/A"/>
    <s v="02-050-0376088"/>
    <s v="Apr  5 2025  5:07PM"/>
  </r>
  <r>
    <s v="رقم حدود"/>
    <s v="4925159248"/>
    <s v="القاسم الحاج ابراهيم محمد"/>
    <s v="INV025234688"/>
    <x v="33"/>
    <x v="1"/>
    <s v="عالي"/>
    <s v="مجموعة عمل الأمراض المعدية الآخرى"/>
    <s v="*الملاريا"/>
    <s v="حالة"/>
    <x v="0"/>
    <s v="حالة منتهية لا تتطلب اجراء اضافي"/>
    <x v="0"/>
    <s v="المديرية العامة للشؤون الصحية في المدينة المنورة"/>
    <s v="المدينة المنورة"/>
    <s v="مركز قباء"/>
    <s v="المديرية العامة للشؤون الصحية في المدينة المنورة"/>
    <s v="1953-01-01"/>
    <s v="72"/>
    <s v="ذكر"/>
    <x v="2"/>
    <s v="576973078"/>
    <s v="N/A"/>
    <s v="N/A"/>
    <s v="مفتوح"/>
    <s v="N/A"/>
    <s v="N/A"/>
    <s v="N/A"/>
    <s v="N/A"/>
    <s v="N/A"/>
    <s v="02-050-0377442"/>
    <s v="Apr  7 2025  2:39PM"/>
  </r>
  <r>
    <s v="مقيم"/>
    <s v="2478509850"/>
    <s v="الطيب جار النبي محمد جار النبي"/>
    <s v="INV025234700"/>
    <x v="33"/>
    <x v="0"/>
    <s v="عالي"/>
    <s v="مجموعة عمل الأمراض المعدية الآخرى"/>
    <s v="*الملاريا"/>
    <s v="حالة"/>
    <x v="0"/>
    <s v="حالة منتهية لا تتطلب اجراء اضافي"/>
    <x v="0"/>
    <s v="المديرية العامة للشؤون الصحية في المدينة المنورة"/>
    <s v="المدينة المنورة"/>
    <s v="مركز الدعيثة للرعاية الصحية الاولية"/>
    <s v="المديرية العامة للشؤون الصحية في المدينة المنورة"/>
    <s v="1982-01-01"/>
    <s v="43"/>
    <s v="ذكر"/>
    <x v="2"/>
    <s v="502335874"/>
    <s v="N/A"/>
    <s v="N/A"/>
    <s v="مفتوح"/>
    <s v="N/A"/>
    <s v="N/A"/>
    <s v="N/A"/>
    <s v="N/A"/>
    <s v="N/A"/>
    <s v="02-050-0377438"/>
    <s v="Apr  7 2025  2:37PM"/>
  </r>
  <r>
    <s v="أخرى"/>
    <s v="6132124327"/>
    <s v="أكما أبدو دوبي دوبي"/>
    <s v="INV025234715"/>
    <x v="33"/>
    <x v="1"/>
    <s v="عالي"/>
    <s v="مجموعة عمل الأمراض المعدية الآخرى"/>
    <s v="*الملاريا"/>
    <s v="حالة"/>
    <x v="0"/>
    <s v="حالة منتهية لا تتطلب اجراء اضافي"/>
    <x v="0"/>
    <s v="المديرية العامة للشؤون الصحية في المدينة المنورة"/>
    <s v="المدينة المنورة"/>
    <s v="شركة مجمع دار السلام الطبي العام"/>
    <s v="المديرية العامة للشؤون الصحية في المدينة المنورة"/>
    <s v="1998-09-25"/>
    <s v="26"/>
    <s v="انثى"/>
    <x v="1"/>
    <s v="599111457"/>
    <s v="N/A"/>
    <s v="N/A"/>
    <s v="مفتوح"/>
    <s v="N/A"/>
    <s v="N/A"/>
    <s v="N/A"/>
    <s v="N/A"/>
    <s v="N/A"/>
    <s v="02-050-0377434"/>
    <s v="Apr  7 2025  2:33PM"/>
  </r>
  <r>
    <s v="مقيم"/>
    <s v="2597827373"/>
    <s v="سعاده   علي"/>
    <s v="INV025234748"/>
    <x v="33"/>
    <x v="1"/>
    <s v="عالي"/>
    <s v="مجموعة عمل الأمراض المعدية الآخرى"/>
    <s v="*الملاريا"/>
    <s v="حالة"/>
    <x v="0"/>
    <s v="حالة منتهية لا تتطلب اجراء اضافي"/>
    <x v="0"/>
    <s v="المديرية العامة للشؤون الصحية في المدينة المنورة"/>
    <s v="المدينة المنورة"/>
    <s v="مركز صحي العزيزية"/>
    <s v="المديرية العامة للشؤون الصحية في المدينة المنورة"/>
    <s v="1999-02-15"/>
    <s v="26"/>
    <s v="انثى"/>
    <x v="1"/>
    <s v="544684314"/>
    <s v="N/A"/>
    <s v="N/A"/>
    <s v="مفتوح"/>
    <s v="N/A"/>
    <s v="N/A"/>
    <s v="N/A"/>
    <s v="N/A"/>
    <s v="N/A"/>
    <s v="02-050-0377464"/>
    <s v="Apr  7 2025  3:02PM"/>
  </r>
  <r>
    <s v="أخرى"/>
    <s v="6140123828"/>
    <s v="اسامة هزاع  مهدي"/>
    <s v="INV025235267"/>
    <x v="34"/>
    <x v="0"/>
    <s v="عالي جدًا - معتمر من الخارج"/>
    <s v="مجموعة عمل الأمراض المعدية الآخرى"/>
    <s v="*الملاريا"/>
    <s v="حالة"/>
    <x v="2"/>
    <s v="حالة منتهية لا تتطلب اجراء اضافي"/>
    <x v="0"/>
    <s v="المديرية العامة للشؤون الصحية في المدينة المنورة"/>
    <s v="المدينة المنورة"/>
    <s v="وحدة الأمراض المعدية"/>
    <s v="المديرية العامة للشؤون الصحية في المدينة المنورة"/>
    <s v="2000-02-01"/>
    <s v="25"/>
    <s v="ذكر"/>
    <x v="7"/>
    <s v="507305469"/>
    <s v="N/A"/>
    <s v="N/A"/>
    <s v="مفتوح"/>
    <s v="N/A"/>
    <s v="N/A"/>
    <s v="N/A"/>
    <s v="N/A"/>
    <s v="N/A"/>
    <s v="02-050-0377951"/>
    <s v="Apr  8 2025 12:08PM"/>
  </r>
  <r>
    <s v="مواطن"/>
    <s v="1107407494"/>
    <s v="ابراهيم مساعد عقيل الرشيدي"/>
    <s v="INV025235289"/>
    <x v="34"/>
    <x v="3"/>
    <s v="خبيثة"/>
    <s v="مجموعة عمل الأمراض المعدية الآخرى"/>
    <s v="*الملاريا"/>
    <s v="حالة"/>
    <x v="2"/>
    <s v="معلَق"/>
    <x v="0"/>
    <s v="المديرية العامة للشؤون الصحية في المدينة المنورة"/>
    <s v="المدينة المنورة"/>
    <s v="مركز العاقول للرعاية الصحية الاولية"/>
    <s v="المديرية العامة للشؤون الصحية في المدينة المنورة"/>
    <s v="2000-05-03"/>
    <s v="24"/>
    <s v="ذكر"/>
    <x v="4"/>
    <s v="534985079"/>
    <s v="N/A"/>
    <s v="N/A"/>
    <s v="مفتوح"/>
    <s v="N/A"/>
    <s v="N/A"/>
    <s v="N/A"/>
    <s v="N/A"/>
    <s v="N/A"/>
    <s v="02-050-0377978"/>
    <s v="Apr  8 2025 12:30PM"/>
  </r>
  <r>
    <s v="مواطن"/>
    <s v="1002526398"/>
    <s v="حمدان محمد علي الثميري"/>
    <s v="INV025236043"/>
    <x v="35"/>
    <x v="1"/>
    <s v="عالي"/>
    <s v="مجموعة عمل الأمراض المعدية الآخرى"/>
    <s v="*الملاريا"/>
    <s v="حالة"/>
    <x v="2"/>
    <s v="تحت الإجراء"/>
    <x v="6"/>
    <s v="المديرية العامة للشؤون الصحية في المدينة المنورة"/>
    <s v="المدينة المنورة"/>
    <s v="مركز الرعايه الصحيه الأوليه بأبو ضباع"/>
    <s v="المديرية العامة للشؤون الصحية في المدينة المنورة"/>
    <s v="1962-11-28"/>
    <s v="62"/>
    <s v="ذكر"/>
    <x v="4"/>
    <n v="565566265"/>
    <s v="N/A"/>
    <s v="N/A"/>
    <s v="مفتوح"/>
    <s v="N/A"/>
    <s v="N/A"/>
    <s v="N/A"/>
    <s v="حمى "/>
    <s v="Mar 28 2025 12:00AM"/>
    <s v="02-050-0378722"/>
    <s v="Apr  9 2025  9:36AM"/>
  </r>
  <r>
    <s v="أخرى"/>
    <s v="P11295753"/>
    <s v="جليلة حامد  بابكر"/>
    <s v="INV025236558"/>
    <x v="35"/>
    <x v="0"/>
    <s v="عالي جدًا - معتمر من الخارج"/>
    <s v="مجموعة عمل الأمراض المعدية الآخرى"/>
    <s v="*الملاريا"/>
    <s v="حالة"/>
    <x v="2"/>
    <s v="معلَق"/>
    <x v="0"/>
    <s v="المديرية العامة للشؤون الصحية في المدينة المنورة"/>
    <s v="المدينة المنورة"/>
    <s v="مركز الفتح للرعاية الصحية الاولية"/>
    <s v="المديرية العامة للشؤون الصحية في المدينة المنورة"/>
    <s v="1972-04-15"/>
    <s v="53"/>
    <s v="انثى"/>
    <x v="2"/>
    <s v="506234936"/>
    <s v="N/A"/>
    <s v="N/A"/>
    <s v="مفتوح"/>
    <s v="N/A"/>
    <s v="N/A"/>
    <s v="N/A"/>
    <s v="N/A"/>
    <s v="N/A"/>
    <s v="02-050-0379256"/>
    <s v="Apr  9 2025  2:00PM"/>
  </r>
  <r>
    <s v="مقيم"/>
    <s v="2339350148"/>
    <s v="مصعب عثمان مكاوى احمد"/>
    <s v="INV025236595"/>
    <x v="35"/>
    <x v="0"/>
    <s v="عالي"/>
    <s v="مجموعة عمل الأمراض المعدية الآخرى"/>
    <s v="*الملاريا"/>
    <s v="حالة"/>
    <x v="2"/>
    <s v="معلَق"/>
    <x v="0"/>
    <s v="المديرية العامة للشؤون الصحية في المدينة المنورة"/>
    <s v="المدينة المنورة"/>
    <s v="مركز قباء"/>
    <s v="المديرية العامة للشؤون الصحية في المدينة المنورة"/>
    <s v="1985-01-01"/>
    <s v="40"/>
    <s v="ذكر"/>
    <x v="2"/>
    <s v="556684427"/>
    <s v="N/A"/>
    <s v="N/A"/>
    <s v="مفتوح"/>
    <s v="N/A"/>
    <s v="N/A"/>
    <s v="N/A"/>
    <s v="N/A"/>
    <s v="N/A"/>
    <s v="02-050-0379287"/>
    <s v="Apr  9 2025  2:21PM"/>
  </r>
  <r>
    <s v="أخرى"/>
    <s v="EP8222249"/>
    <s v="قادر ماري  موسما"/>
    <s v="INV025237062"/>
    <x v="36"/>
    <x v="1"/>
    <s v="عالي"/>
    <s v="مجموعة عمل الأمراض المعدية الآخرى"/>
    <s v="*الملاريا"/>
    <s v="بلاغ أولي"/>
    <x v="2"/>
    <s v="معلَق"/>
    <x v="6"/>
    <s v="المديرية العامة للشؤون الصحية في المدينة المنورة"/>
    <s v="المدينة المنورة"/>
    <s v="مركز الرعاية الصحية الاولية بام العيال"/>
    <s v="المديرية العامة للشؤون الصحية في المدينة المنورة"/>
    <s v="2000-06-07"/>
    <s v="24"/>
    <s v="ذكر"/>
    <x v="1"/>
    <n v="555313552"/>
    <s v="N/A"/>
    <s v="N/A"/>
    <s v="مفتوح"/>
    <s v="N/A"/>
    <s v="N/A"/>
    <s v="N/A"/>
    <s v="N/A"/>
    <s v="N/A"/>
    <s v="02-050-0379766"/>
    <s v="Apr 10 2025  9:54AM"/>
  </r>
  <r>
    <s v="أخرى"/>
    <s v="ep8407180"/>
    <s v="MOHAMMED MOHAMMED  ASSAF"/>
    <s v="INV025237180"/>
    <x v="36"/>
    <x v="1"/>
    <s v="متوسط"/>
    <s v="مجموعة عمل الأمراض المعدية الآخرى"/>
    <s v="*الملاريا"/>
    <s v="حالة"/>
    <x v="2"/>
    <s v="تنويم"/>
    <x v="11"/>
    <s v="المديرية العامة للشؤون الصحية في المدينة المنورة"/>
    <s v="المدينة المنورة"/>
    <s v="مركز رعاية صحية أوليه ينبع النخل"/>
    <s v="المديرية العامة للشؤون الصحية في المدينة المنورة"/>
    <s v="1996-01-01"/>
    <s v="29"/>
    <s v="ذكر"/>
    <x v="1"/>
    <s v="500022153"/>
    <s v="N/A"/>
    <s v="N/A"/>
    <s v="مفتوح"/>
    <s v="N/A"/>
    <s v="N/A"/>
    <s v="N/A"/>
    <s v="N/A"/>
    <s v="N/A"/>
    <s v="02-050-0379874"/>
    <s v="Apr 10 2025 10:57AM"/>
  </r>
  <r>
    <s v="مقيم"/>
    <s v="2518079682"/>
    <s v="الطيب عبدالله الطيب محمداحمد"/>
    <s v="INV025238742"/>
    <x v="37"/>
    <x v="0"/>
    <s v="عالي"/>
    <s v="مجموعة عمل الأمراض المعدية الآخرى"/>
    <s v="*الملاريا"/>
    <s v="حالة"/>
    <x v="2"/>
    <s v="تنويم"/>
    <x v="0"/>
    <s v="المديرية العامة للشؤون الصحية في المدينة المنورة"/>
    <s v="المدينة المنورة"/>
    <s v="مركز الرعاية الصحية الأولية حمراء الأسد"/>
    <s v="المديرية العامة للشؤون الصحية في المدينة المنورة"/>
    <s v="1993-01-01"/>
    <s v="32"/>
    <s v="ذكر"/>
    <x v="2"/>
    <s v="533343393"/>
    <s v="N/A"/>
    <s v="N/A"/>
    <s v="مفتوح"/>
    <s v="N/A"/>
    <s v="N/A"/>
    <s v="N/A"/>
    <s v="N/A"/>
    <s v="N/A"/>
    <s v="02-050-0381451,02-050-0381482"/>
    <s v="Apr 13 2025 10:24AM,Apr 13 2025 10:34AM"/>
  </r>
  <r>
    <s v="رقم حدود"/>
    <s v="4514179748"/>
    <s v="كامل عبدالطيف مرسي ابوبكر"/>
    <s v="INV025238819"/>
    <x v="37"/>
    <x v="2"/>
    <s v="عالي جدًا - معتمر من الخارج"/>
    <s v="مجموعة عمل الأمراض المعدية الآخرى"/>
    <s v="*الملاريا"/>
    <s v="بلاغ أولي"/>
    <x v="0"/>
    <s v="معلَق"/>
    <x v="13"/>
    <s v="المديرية العامة للشؤون الصحية في المدينة المنورة"/>
    <s v="المدينة المنورة"/>
    <s v="مركز صحي الصافية"/>
    <s v="المديرية العامة للشؤون الصحية في المدينة المنورة"/>
    <s v="1960-04-17"/>
    <s v="65"/>
    <s v="ذكر"/>
    <x v="2"/>
    <s v="562188947"/>
    <s v="N/A"/>
    <s v="N/A"/>
    <s v="مفتوح"/>
    <s v="N/A"/>
    <s v="N/A"/>
    <s v="N/A"/>
    <s v="N/A"/>
    <s v="N/A"/>
    <s v="02-050-0381568"/>
    <s v="Apr 13 2025 11:09AM"/>
  </r>
  <r>
    <s v="مواطن"/>
    <s v="1123539718"/>
    <s v="عبدالله سعدي بن حياء الرشيدي"/>
    <s v="INV025239047"/>
    <x v="37"/>
    <x v="3"/>
    <s v="خبيثة"/>
    <s v="مجموعة عمل الأمراض المعدية الآخرى"/>
    <s v="*الملاريا"/>
    <s v="حالة"/>
    <x v="0"/>
    <s v="معلَق"/>
    <x v="14"/>
    <s v="المديرية العامة للشؤون الصحية في المدينة المنورة"/>
    <s v="المدينة المنورة"/>
    <s v="مركز وعيرة للرعاية الصحية الاولية"/>
    <s v="المديرية العامة للشؤون الصحية في المدينة المنورة"/>
    <s v="2004-02-01"/>
    <s v="21"/>
    <s v="ذكر"/>
    <x v="4"/>
    <s v="550308607"/>
    <s v="N/A"/>
    <s v="N/A"/>
    <s v="مفتوح"/>
    <s v="N/A"/>
    <s v="N/A"/>
    <s v="N/A"/>
    <s v="N/A"/>
    <s v="N/A"/>
    <s v="02-050-0381837,02-050-0381920,02-050-0382012"/>
    <s v="Apr 13 2025  1:17PM,Apr 13 2025  2:16PM,Apr 13 2025  3:21PM"/>
  </r>
  <r>
    <s v="مقيم"/>
    <s v="2242170534"/>
    <s v="امين الحق ابو طيب"/>
    <s v="INV025239887"/>
    <x v="38"/>
    <x v="1"/>
    <s v="عالي"/>
    <s v="مجموعة عمل الأمراض المعدية الآخرى"/>
    <s v="*الملاريا"/>
    <s v="حالة"/>
    <x v="2"/>
    <s v="تحت الإجراء"/>
    <x v="6"/>
    <s v="المديرية العامة للشؤون الصحية في المدينة المنورة"/>
    <s v="المدينة المنورة"/>
    <s v="مركز الرعايه الصحيه الأوليه بأبو ضباع"/>
    <s v="المديرية العامة للشؤون الصحية في المدينة المنورة"/>
    <s v="1970-12-06"/>
    <s v="54"/>
    <s v="ذكر"/>
    <x v="11"/>
    <s v="548809318"/>
    <s v="N/A"/>
    <s v="N/A"/>
    <s v="مفتوح"/>
    <s v="N/A"/>
    <s v="N/A"/>
    <s v="N/A"/>
    <s v="N/A"/>
    <s v="N/A"/>
    <s v="02-050-0382690"/>
    <s v="Apr 14 2025 10:35AM"/>
  </r>
  <r>
    <s v="أخرى"/>
    <s v="1847542"/>
    <s v="ERPATIENT 1439   ERPATIENT 1439"/>
    <s v="INV025244396"/>
    <x v="39"/>
    <x v="5"/>
    <s v="متوسط"/>
    <s v="مجموعة عمل الأمراض المعدية الآخرى"/>
    <s v="*الملاريا"/>
    <s v="حالة"/>
    <x v="2"/>
    <s v="معلَق"/>
    <x v="5"/>
    <s v="المديرية العامة للشؤون الصحية في المدينة المنورة"/>
    <s v="المدينة المنورة"/>
    <s v="وحدة الأمراض المعدية"/>
    <s v="المديرية العامة للشؤون الصحية في المدينة المنورة"/>
    <s v="1995-04-18"/>
    <s v="30"/>
    <s v="ذكر"/>
    <x v="1"/>
    <s v="555555555"/>
    <s v="N/A"/>
    <s v="N/A"/>
    <s v="مفتوح"/>
    <s v="N/A"/>
    <s v="N/A"/>
    <s v="N/A"/>
    <s v="N/A"/>
    <s v="N/A"/>
    <s v="02-050-0387609"/>
    <s v="Apr 21 2025  8:53AM"/>
  </r>
  <r>
    <s v="مقيم"/>
    <s v="2455996336"/>
    <s v="الطريفي يوسف احمد محمد"/>
    <s v="INV025244401"/>
    <x v="39"/>
    <x v="0"/>
    <s v="متوسط"/>
    <s v="مجموعة عمل الأمراض المعدية الآخرى"/>
    <s v="*الملاريا"/>
    <s v="حالة"/>
    <x v="2"/>
    <s v="معلَق"/>
    <x v="5"/>
    <s v="المديرية العامة للشؤون الصحية في المدينة المنورة"/>
    <s v="المدينة المنورة"/>
    <s v="مركز وعيرة للرعاية الصحية الاولية"/>
    <s v="المديرية العامة للشؤون الصحية في المدينة المنورة"/>
    <s v="1994-01-01"/>
    <s v="31"/>
    <s v="ذكر"/>
    <x v="2"/>
    <s v="546296046"/>
    <s v="N/A"/>
    <s v="N/A"/>
    <s v="مفتوح"/>
    <s v="N/A"/>
    <s v="N/A"/>
    <s v="N/A"/>
    <s v="N/A"/>
    <s v="N/A"/>
    <s v="02-050-0387613"/>
    <s v="Apr 21 2025  8:56AM"/>
  </r>
  <r>
    <s v="مقيم"/>
    <s v="2601066489"/>
    <s v="نورو محمد حسن حسن"/>
    <s v="INV025245109"/>
    <x v="40"/>
    <x v="1"/>
    <s v="عالي"/>
    <s v="مجموعة عمل الأمراض المعدية الآخرى"/>
    <s v="*الملاريا"/>
    <s v="حالة"/>
    <x v="2"/>
    <s v="تحت الإجراء"/>
    <x v="6"/>
    <s v="المديرية العامة للشؤون الصحية في المدينة المنورة"/>
    <s v="المدينة المنورة"/>
    <s v="مركز صحي الأكحل"/>
    <s v="المديرية العامة للشؤون الصحية في المدينة المنورة"/>
    <s v="1993-05-30"/>
    <s v="31"/>
    <s v="ذكر"/>
    <x v="1"/>
    <s v="537881349"/>
    <s v="N/A"/>
    <s v="N/A"/>
    <s v="مفتوح"/>
    <s v="N/A"/>
    <s v="N/A"/>
    <s v="N/A"/>
    <s v="N/A"/>
    <s v="N/A"/>
    <s v="02-050-0387720"/>
    <s v="Apr 21 2025 10:10AM"/>
  </r>
  <r>
    <s v="مقيم"/>
    <s v="2470242963"/>
    <s v="عبدالهادى حسين جمعه عبدالله"/>
    <s v="INV025246024"/>
    <x v="41"/>
    <x v="0"/>
    <s v="متوسط"/>
    <s v="مجموعة عمل الأمراض المعدية الآخرى"/>
    <s v="*الملاريا"/>
    <s v="حالة"/>
    <x v="0"/>
    <s v="تنويم"/>
    <x v="15"/>
    <s v="المديرية العامة للشؤون الصحية في المدينة المنورة"/>
    <s v="المدينة المنورة"/>
    <s v="مركز صحي العذيب"/>
    <s v="المديرية العامة للشؤون الصحية في المدينة المنورة"/>
    <s v="1981-03-15"/>
    <s v="44"/>
    <s v="ذكر"/>
    <x v="2"/>
    <s v="531016207"/>
    <s v="N/A"/>
    <s v="N/A"/>
    <s v="مفتوح"/>
    <s v="N/A"/>
    <s v="N/A"/>
    <s v="N/A"/>
    <s v="N/A"/>
    <s v="N/A"/>
    <s v="N/A"/>
    <s v="N/A"/>
  </r>
  <r>
    <s v="مقيم"/>
    <s v="2515264642"/>
    <s v="غوفران محمد  لياش"/>
    <s v="INV025246194"/>
    <x v="41"/>
    <x v="1"/>
    <s v="عالي"/>
    <s v="مجموعة عمل الأمراض المعدية الآخرى"/>
    <s v="*الملاريا"/>
    <s v="حالة"/>
    <x v="2"/>
    <s v="تنويم"/>
    <x v="0"/>
    <s v="المديرية العامة للشؤون الصحية في المدينة المنورة"/>
    <s v="المدينة المنورة"/>
    <s v="مركز الرعاية الصحية الأولية حمراء الأسد"/>
    <s v="المديرية العامة للشؤون الصحية في المدينة المنورة"/>
    <s v="1984-01-05"/>
    <s v="41"/>
    <s v="ذكر"/>
    <x v="12"/>
    <n v="534584286"/>
    <s v="N/A"/>
    <s v="N/A"/>
    <s v="مفتوح"/>
    <s v="N/A"/>
    <s v="N/A"/>
    <s v="N/A"/>
    <s v="N/A"/>
    <s v="N/A"/>
    <s v="02-050-0388853"/>
    <s v="Apr 22 2025 10:20AM"/>
  </r>
  <r>
    <s v="أخرى"/>
    <s v="6139684693"/>
    <s v="جيني   هاكيزيمانا"/>
    <s v="INV025246551"/>
    <x v="41"/>
    <x v="0"/>
    <s v="متوسط"/>
    <s v="مجموعة عمل الأمراض المعدية الآخرى"/>
    <s v="*الملاريا"/>
    <s v="حالة"/>
    <x v="2"/>
    <s v="تنويم"/>
    <x v="0"/>
    <s v="المديرية العامة للشؤون الصحية في المدينة المنورة"/>
    <s v="المدينة المنورة"/>
    <s v="مركز الدعيثة للرعاية الصحية الاولية"/>
    <s v="المديرية العامة للشؤون الصحية في المدينة المنورة"/>
    <s v="2003-03-27"/>
    <s v="22"/>
    <s v="انثى"/>
    <x v="13"/>
    <s v="590978774"/>
    <s v="N/A"/>
    <s v="N/A"/>
    <s v="مفتوح"/>
    <s v="N/A"/>
    <s v="N/A"/>
    <s v="N/A"/>
    <s v="N/A"/>
    <s v="N/A"/>
    <s v="02-050-0389159"/>
    <s v="Apr 22 2025  2:04PM"/>
  </r>
  <r>
    <s v="أخرى"/>
    <s v="EP9104940"/>
    <s v="DAMEKECH GEGE  AMECHO"/>
    <s v="INV025247798"/>
    <x v="42"/>
    <x v="2"/>
    <s v="عالي"/>
    <s v="مجموعة عمل الأمراض المعدية الآخرى"/>
    <s v="*الملاريا"/>
    <s v="حالة"/>
    <x v="2"/>
    <s v="تحت الإجراء"/>
    <x v="16"/>
    <s v="المديرية العامة للشؤون الصحية في المدينة المنورة"/>
    <s v="المدينة المنورة"/>
    <s v="المركز الطبي للهيئة الملكية بينبع"/>
    <s v="المديرية العامة للشؤون الصحية في المدينة المنورة"/>
    <s v="1992-02-11"/>
    <s v="33"/>
    <s v="انثى"/>
    <x v="1"/>
    <s v="556655306"/>
    <s v="N/A"/>
    <s v="N/A"/>
    <s v="مفتوح"/>
    <s v="N/A"/>
    <s v="N/A"/>
    <s v="N/A"/>
    <s v="N/A"/>
    <s v="N/A"/>
    <s v="02-050-0390364"/>
    <s v="Apr 23 2025  3:18PM"/>
  </r>
  <r>
    <s v="مقيم"/>
    <s v="2498062021"/>
    <s v="حسين ادم محمد النعمه"/>
    <s v="INV025248140"/>
    <x v="43"/>
    <x v="0"/>
    <s v="عالي"/>
    <s v="مجموعة عمل الأمراض المعدية الآخرى"/>
    <s v="*الملاريا"/>
    <s v="حالة"/>
    <x v="2"/>
    <s v="معلَق"/>
    <x v="0"/>
    <s v="المديرية العامة للشؤون الصحية في المدينة المنورة"/>
    <s v="المدينة المنورة"/>
    <s v="مركز الرعاية الصحية الأولية حمراء الأسد"/>
    <s v="المديرية العامة للشؤون الصحية في المدينة المنورة"/>
    <s v="1998-01-01"/>
    <s v="27"/>
    <s v="ذكر"/>
    <x v="2"/>
    <s v="590581260"/>
    <s v="N/A"/>
    <s v="N/A"/>
    <s v="مفتوح"/>
    <s v="N/A"/>
    <s v="N/A"/>
    <s v="N/A"/>
    <s v="N/A"/>
    <s v="N/A"/>
    <s v="02-050-0390672"/>
    <s v="Apr 24 2025  8:35AM"/>
  </r>
  <r>
    <s v="مقيم"/>
    <s v="2599735822"/>
    <s v="محمد   حسين"/>
    <s v="INV025248212"/>
    <x v="43"/>
    <x v="1"/>
    <s v="عالي"/>
    <s v="مجموعة عمل الأمراض المعدية الآخرى"/>
    <s v="*الملاريا"/>
    <s v="بلاغ أولي"/>
    <x v="2"/>
    <s v="تحت الإجراء"/>
    <x v="6"/>
    <s v="المديرية العامة للشؤون الصحية في المدينة المنورة"/>
    <s v="المدينة المنورة"/>
    <s v="مركز الرعايه الصحيه الأوليه بأبو ضباع"/>
    <s v="المديرية العامة للشؤون الصحية في المدينة المنورة"/>
    <s v="1994-10-13"/>
    <s v="30"/>
    <s v="ذكر"/>
    <x v="1"/>
    <s v="537710769"/>
    <s v="N/A"/>
    <s v="N/A"/>
    <s v="مفتوح"/>
    <s v="N/A"/>
    <s v="N/A"/>
    <s v="N/A"/>
    <s v="N/A"/>
    <s v="N/A"/>
    <s v="02-050-0390727"/>
    <s v="Apr 24 2025  9:16AM"/>
  </r>
  <r>
    <s v="أخرى"/>
    <s v="eq1953502"/>
    <s v="محمود ديقان حسان حسان"/>
    <s v="INV025249705"/>
    <x v="44"/>
    <x v="1"/>
    <s v="عالي"/>
    <s v="مجموعة عمل الأمراض المعدية الآخرى"/>
    <s v="*الملاريا"/>
    <s v="بلاغ أولي"/>
    <x v="0"/>
    <s v="تنويم"/>
    <x v="17"/>
    <s v="المديرية العامة للشؤون الصحية في المدينة المنورة"/>
    <s v="المدينة المنورة"/>
    <s v="مركز صحي الشقرة للرعاية الصحية الأولية"/>
    <s v="المديرية العامة للشؤون الصحية في المدينة المنورة"/>
    <s v="2002-04-02"/>
    <s v="23"/>
    <s v="ذكر"/>
    <x v="1"/>
    <s v="566698466"/>
    <s v="N/A"/>
    <s v="N/A"/>
    <s v="مفتوح"/>
    <s v="N/A"/>
    <s v="N/A"/>
    <s v="N/A"/>
    <s v="N/A"/>
    <s v="N/A"/>
    <s v="02-050-0392128"/>
    <s v="Apr 27 2025 11:07AM"/>
  </r>
  <r>
    <s v="مقيم"/>
    <s v="2479745909"/>
    <s v="وحيد احمد منصور حسين"/>
    <s v="INV025250762"/>
    <x v="45"/>
    <x v="0"/>
    <s v="عالي"/>
    <s v="مجموعة عمل الأمراض المعدية الآخرى"/>
    <s v="*الملاريا"/>
    <s v="حالة"/>
    <x v="0"/>
    <s v="تنويم"/>
    <x v="0"/>
    <s v="المديرية العامة للشؤون الصحية في المدينة المنورة"/>
    <s v="المدينة المنورة"/>
    <s v="مركز الدعيثة للرعاية الصحية الاولية"/>
    <s v="المديرية العامة للشؤون الصحية في المدينة المنورة"/>
    <s v="1986-11-02"/>
    <s v="38"/>
    <s v="ذكر"/>
    <x v="0"/>
    <s v="582947150"/>
    <s v="N/A"/>
    <s v="N/A"/>
    <s v="مفتوح"/>
    <s v="N/A"/>
    <s v="N/A"/>
    <s v="N/A"/>
    <s v="حمى "/>
    <s v="Apr 27 2025 12:00AM"/>
    <s v="02-050-0392974"/>
    <s v="Apr 28 2025  8:11AM"/>
  </r>
  <r>
    <s v="مواطن"/>
    <s v="1175664562"/>
    <s v="مريم خيران سبيل الرشيدي"/>
    <s v="INV025255693"/>
    <x v="46"/>
    <x v="0"/>
    <s v="متوسط"/>
    <s v="مجموعة عمل الأمراض المعدية الآخرى"/>
    <s v="*الملاريا"/>
    <s v="حالة"/>
    <x v="2"/>
    <s v="تحت الإجراء"/>
    <x v="12"/>
    <s v="المديرية العامة للشؤون الصحية في المدينة المنورة"/>
    <s v="المدينة المنورة"/>
    <s v="مركز صحي الثمد"/>
    <s v="المديرية العامة للشؤون الصحية في المدينة المنورة"/>
    <s v="2015-11-10"/>
    <s v="9"/>
    <s v="انثى"/>
    <x v="4"/>
    <n v="536277392"/>
    <s v="N/A"/>
    <s v="N/A"/>
    <s v="مفتوح"/>
    <s v="N/A"/>
    <s v="N/A"/>
    <s v="N/A"/>
    <s v="N/A"/>
    <s v="N/A"/>
    <s v="02-050-0398629,02-050-0399374,02-050-0399519"/>
    <s v="May  6 2025  3:15PM,May  7 2025  2:15PM,May  7 2025  7:10PM"/>
  </r>
  <r>
    <s v="مواطن"/>
    <s v="1160152482"/>
    <s v="هاجر خيران سبيل الرشيدي"/>
    <s v="INV025255702"/>
    <x v="46"/>
    <x v="0"/>
    <s v="متوسط"/>
    <s v="مجموعة عمل الأمراض المعدية الآخرى"/>
    <s v="*الملاريا"/>
    <s v="حالة"/>
    <x v="2"/>
    <s v="تحت الإجراء"/>
    <x v="12"/>
    <s v="المديرية العامة للشؤون الصحية في المدينة المنورة"/>
    <s v="المدينة المنورة"/>
    <s v="مركز صحي الثمد"/>
    <s v="المديرية العامة للشؤون الصحية في المدينة المنورة"/>
    <s v="2012-07-13"/>
    <s v="12"/>
    <s v="انثى"/>
    <x v="4"/>
    <s v="536277392"/>
    <s v="N/A"/>
    <s v="N/A"/>
    <s v="مفتوح"/>
    <s v="N/A"/>
    <s v="N/A"/>
    <s v="N/A"/>
    <s v="N/A"/>
    <s v="N/A"/>
    <s v="02-050-0398602,02-050-0399382,02-050-0399520"/>
    <s v="May  6 2025  3:02PM,May  7 2025  2:21PM,May  7 2025  7:12PM"/>
  </r>
  <r>
    <s v="مقيم"/>
    <s v="2599832660"/>
    <s v="محمد أشرف  فياز"/>
    <s v="INV025257917"/>
    <x v="47"/>
    <x v="1"/>
    <s v="N/A"/>
    <s v="مجموعة عمل الأمراض المعدية الآخرى"/>
    <s v="*الملاريا"/>
    <s v="بلاغ أولي"/>
    <x v="2"/>
    <s v="بلاغ أولي"/>
    <x v="18"/>
    <s v="المديرية العامة للشؤون الصحية في المدينة المنورة"/>
    <s v="المدينة المنورة"/>
    <s v="مركز صحي الاقيفة"/>
    <s v="المديرية العامة للشؤون الصحية في المدينة المنورة"/>
    <s v="2003-02-27"/>
    <s v="22"/>
    <s v="ذكر"/>
    <x v="12"/>
    <s v="544628132"/>
    <s v="N/A"/>
    <s v="N/A"/>
    <s v="مفتوح"/>
    <s v="N/A"/>
    <s v="N/A"/>
    <s v="N/A"/>
    <s v="N/A"/>
    <s v="N/A"/>
    <s v="N/A"/>
    <s v="N/A"/>
  </r>
  <r>
    <s v="مقيم"/>
    <s v="2409436157"/>
    <s v="ريا ريشيل غالمايو فاشكيج"/>
    <s v="INV025258392"/>
    <x v="47"/>
    <x v="1"/>
    <s v="عالي"/>
    <s v="مجموعة عمل الأمراض المعدية الآخرى"/>
    <s v="*الملاريا"/>
    <s v="حالة"/>
    <x v="0"/>
    <s v="تحت الإجراء"/>
    <x v="4"/>
    <s v="المديرية العامة للشؤون الصحية في المدينة المنورة"/>
    <s v="المدينة المنورة"/>
    <s v="مستشفى المدينة المنورة العام"/>
    <s v="المديرية العامة للشؤون الصحية في المدينة المنورة"/>
    <s v="1986-03-27"/>
    <s v="39"/>
    <s v="انثى"/>
    <x v="14"/>
    <s v="543117006"/>
    <s v="N/A"/>
    <s v="N/A"/>
    <s v="مفتوح"/>
    <s v="N/A"/>
    <s v="N/A"/>
    <s v="N/A"/>
    <s v="N/A"/>
    <s v="N/A"/>
    <s v="02-050-0400396"/>
    <s v="May 10 2025 12:37PM"/>
  </r>
  <r>
    <s v="أخرى"/>
    <s v="6141458045"/>
    <s v="Yisau Akanefe Oyeyemi yy"/>
    <s v="INV025258939"/>
    <x v="48"/>
    <x v="0"/>
    <s v="عالي جدًا - معتمر من الخارج"/>
    <s v="مجموعة عمل الأمراض المعدية الآخرى"/>
    <s v="*الملاريا"/>
    <s v="حالة"/>
    <x v="2"/>
    <s v="تنويم"/>
    <x v="19"/>
    <s v="المديرية العامة للشؤون الصحية في المدينة المنورة"/>
    <s v="المدينة المنورة"/>
    <s v="وحدة الأمراض المعدية"/>
    <s v="المديرية العامة للشؤون الصحية في المدينة المنورة"/>
    <s v="1977-01-24"/>
    <s v="48"/>
    <s v="ذكر"/>
    <x v="15"/>
    <s v="555000000"/>
    <s v="N/A"/>
    <s v="N/A"/>
    <s v="مفتوح"/>
    <s v="N/A"/>
    <s v="N/A"/>
    <s v="N/A"/>
    <s v="N/A"/>
    <s v="N/A"/>
    <s v="02-050-0400464"/>
    <s v="May 10 2025  6:50PM"/>
  </r>
  <r>
    <s v="مقيم"/>
    <s v="2491994030"/>
    <s v="ابوبكر الصديق الرشيد دفع الله الشيخ"/>
    <s v="INV025259646"/>
    <x v="49"/>
    <x v="1"/>
    <s v="عالي"/>
    <s v="مجموعة عمل الأمراض المعدية الآخرى"/>
    <s v="*الملاريا"/>
    <s v="حالة"/>
    <x v="0"/>
    <s v="حالة منتهية لا تتطلب اجراء اضافي"/>
    <x v="0"/>
    <s v="المديرية العامة للشؤون الصحية في المدينة المنورة"/>
    <s v="المدينة المنورة"/>
    <s v="مركز صحي باقدو الدويخلة للرعاية الصحية الأولية"/>
    <s v="المديرية العامة للشؤون الصحية في المدينة المنورة"/>
    <s v="1987-09-28"/>
    <s v="37"/>
    <s v="ذكر"/>
    <x v="2"/>
    <s v="562423062"/>
    <s v="Recovered"/>
    <s v="May 11 2025 12:00AM"/>
    <s v="مفتوح"/>
    <s v="N/A"/>
    <s v="N/A"/>
    <s v="N/A"/>
    <s v="حمى "/>
    <s v="Apr 26 2025 12:00AM"/>
    <s v="02-050-0401098"/>
    <s v="May 11 2025  1:37PM"/>
  </r>
  <r>
    <s v="أخرى"/>
    <s v="EP9049857"/>
    <s v="GAMILA ABABIYA  ABDALLA"/>
    <s v="INV025259761"/>
    <x v="49"/>
    <x v="0"/>
    <s v="عالي"/>
    <s v="مجموعة عمل الأمراض المعدية الآخرى"/>
    <s v="*الملاريا"/>
    <s v="حالة"/>
    <x v="0"/>
    <s v="حالة منتهية لا تتطلب اجراء اضافي"/>
    <x v="0"/>
    <s v="المديرية العامة للشؤون الصحية في المدينة المنورة"/>
    <s v="المدينة المنورة"/>
    <s v="مركز صحي العزيزية"/>
    <s v="المديرية العامة للشؤون الصحية في المدينة المنورة"/>
    <s v="2001-10-03"/>
    <s v="23"/>
    <s v="انثى"/>
    <x v="1"/>
    <s v="572760407"/>
    <s v="Recovered"/>
    <s v="May 14 2025 12:00AM"/>
    <s v="مفتوح"/>
    <s v="N/A"/>
    <s v="N/A"/>
    <s v="N/A"/>
    <s v="حمى ,صداع , intermittent Fever"/>
    <s v="May 12 2025 12:00AM,May 14 2025 12:00AM,May 11 2025 12:00AM"/>
    <s v="02-050-0401174"/>
    <s v="May 11 2025  2:55PM"/>
  </r>
  <r>
    <s v="أخرى"/>
    <s v="P1943968"/>
    <s v="MOHAMMED   NAVED NAVED"/>
    <s v="INV025259951"/>
    <x v="49"/>
    <x v="2"/>
    <s v="عالي جدًا - حاج من الخارج"/>
    <s v="مجموعة عمل الأمراض المعدية الآخرى"/>
    <s v="*الملاريا"/>
    <s v="حالة"/>
    <x v="1"/>
    <s v="حالة منتهية لا تتطلب اجراء اضافي"/>
    <x v="4"/>
    <s v="المديرية العامة للشؤون الصحية في المدينة المنورة"/>
    <s v="المدينة المنورة"/>
    <s v="مستشفى المدينة المنورة العام"/>
    <s v="المديرية العامة للشؤون الصحية في المدينة المنورة"/>
    <s v="1988-12-04"/>
    <s v="36"/>
    <s v="ذكر"/>
    <x v="12"/>
    <s v="581670314"/>
    <s v="N/A"/>
    <s v="N/A"/>
    <s v="مغلق"/>
    <s v="N/A"/>
    <s v="N/A"/>
    <s v="N/A"/>
    <s v=" intermittent Fever"/>
    <s v="May 10 2025 12:00AM"/>
    <s v="02-050-0403224"/>
    <s v="May 14 2025 10:01AM"/>
  </r>
  <r>
    <s v="أخرى"/>
    <s v="EQ1114121"/>
    <s v="NAMI   Semon"/>
    <s v="INV025260956"/>
    <x v="50"/>
    <x v="1"/>
    <s v="عالي"/>
    <s v="مجموعة عمل الأمراض المعدية الآخرى"/>
    <s v="*الملاريا"/>
    <s v="حالة"/>
    <x v="0"/>
    <s v="تحت الإجراء"/>
    <x v="4"/>
    <s v="المديرية العامة للشؤون الصحية في المدينة المنورة"/>
    <s v="المدينة المنورة"/>
    <s v="مركز صحي الهجرة للرعاية الصحية الأولية"/>
    <s v="المديرية العامة للشؤون الصحية في المدينة المنورة"/>
    <s v="2002-02-17"/>
    <s v="23"/>
    <s v="انثى"/>
    <x v="1"/>
    <s v="508345640"/>
    <s v="N/A"/>
    <s v="N/A"/>
    <s v="مفتوح"/>
    <s v="N/A"/>
    <s v="N/A"/>
    <s v="N/A"/>
    <s v=" intermittent Fever"/>
    <s v="May 11 2025 12:00AM"/>
    <s v="02-050-0403005,02-050-0403006"/>
    <s v="May 14 2025 12:58AM,May 14 2025  1:00AM"/>
  </r>
  <r>
    <s v="مواطن"/>
    <s v="1111368708"/>
    <s v="مصعب سلمان عابد الحجيلي"/>
    <s v="INV025260961"/>
    <x v="50"/>
    <x v="3"/>
    <s v="خبيثة"/>
    <s v="مجموعة عمل الأمراض المعدية الآخرى"/>
    <s v="*الملاريا"/>
    <s v="حالة"/>
    <x v="0"/>
    <s v="تحت الإجراء"/>
    <x v="4"/>
    <s v="المديرية العامة للشؤون الصحية في المدينة المنورة"/>
    <s v="المدينة المنورة"/>
    <s v="مركز صحي الهجرة للرعاية الصحية الأولية"/>
    <s v="المديرية العامة للشؤون الصحية في المدينة المنورة"/>
    <s v="2001-04-18"/>
    <s v="24"/>
    <s v="ذكر"/>
    <x v="4"/>
    <s v="531417549"/>
    <s v="N/A"/>
    <s v="N/A"/>
    <s v="مفتوح"/>
    <s v="N/A"/>
    <s v="N/A"/>
    <s v="N/A"/>
    <s v=" intermittent Fever"/>
    <s v="May 10 2025 12:00AM"/>
    <s v="02-050-0403007,02-050-0403008"/>
    <s v="May 14 2025  1:01AM,May 14 2025  1:03AM"/>
  </r>
  <r>
    <s v="أخرى"/>
    <s v="B03934177"/>
    <s v="YISAU   AKANFE"/>
    <s v="INV025261241"/>
    <x v="50"/>
    <x v="2"/>
    <s v="منخفض"/>
    <s v="مجموعة عمل الأمراض المعدية الآخرى"/>
    <s v="*الملاريا"/>
    <s v="حالة"/>
    <x v="1"/>
    <s v="يوجد خطأ في ما تم إدخاله"/>
    <x v="5"/>
    <s v="المديرية العامة للشؤون الصحية في المدينة المنورة"/>
    <s v="المدينة المنورة"/>
    <s v="وحدة الأمراض المعدية"/>
    <s v="المديرية العامة للشؤون الصحية في المدينة المنورة"/>
    <s v="1977-01-24"/>
    <s v="48"/>
    <s v="ذكر"/>
    <x v="15"/>
    <s v="590374584"/>
    <s v="N/A"/>
    <s v="N/A"/>
    <s v="مغلق"/>
    <s v="N/A"/>
    <s v="N/A"/>
    <s v="N/A"/>
    <s v="N/A"/>
    <s v="N/A"/>
    <s v="02-050-0402667"/>
    <s v="May 13 2025  1:31PM"/>
  </r>
  <r>
    <s v="أخرى"/>
    <s v="13pc32884"/>
    <s v="rabi malick  kamil"/>
    <s v="INV025261697"/>
    <x v="50"/>
    <x v="1"/>
    <s v="عالي جدًا - حاج من الخارج"/>
    <s v="مجموعة عمل الأمراض المعدية الآخرى"/>
    <s v="*الملاريا"/>
    <s v="بلاغ أولي"/>
    <x v="0"/>
    <s v="بلاغ أولي"/>
    <x v="20"/>
    <s v="المديرية العامة للشؤون الصحية في المدينة المنورة"/>
    <s v="المدينة المنورة"/>
    <s v="مركز المراقبة الصحية"/>
    <s v="المديرية العامة للشؤون الصحية في المدينة المنورة"/>
    <s v="1951-01-01"/>
    <s v="74"/>
    <s v="انثى"/>
    <x v="8"/>
    <s v="597747487"/>
    <s v="N/A"/>
    <s v="N/A"/>
    <s v="مفتوح"/>
    <s v="N/A"/>
    <s v="N/A"/>
    <s v="N/A"/>
    <s v="N/A"/>
    <s v="N/A"/>
    <s v="02-050-0403180,02-050-0403183"/>
    <s v="May 14 2025  9:40AM,May 14 2025  9:42AM"/>
  </r>
  <r>
    <s v="أخرى"/>
    <s v="4489072423"/>
    <s v="احمد ابوذر جوده محمد"/>
    <s v="INV025262377"/>
    <x v="51"/>
    <x v="2"/>
    <s v="عالي"/>
    <s v="مجموعة عمل الأمراض المعدية الآخرى"/>
    <s v="*الملاريا"/>
    <s v="حالة"/>
    <x v="2"/>
    <s v="تنويم"/>
    <x v="11"/>
    <s v="المديرية العامة للشؤون الصحية في المدينة المنورة"/>
    <s v="المدينة المنورة"/>
    <s v="مركز صحي الشرقية"/>
    <s v="المديرية العامة للشؤون الصحية في المدينة المنورة"/>
    <s v="2019-04-02"/>
    <s v="6"/>
    <s v="ذكر"/>
    <x v="2"/>
    <s v="530079548"/>
    <s v="N/A"/>
    <s v="N/A"/>
    <s v="مفتوح"/>
    <s v="N/A"/>
    <s v="N/A"/>
    <s v="N/A"/>
    <s v="N/A"/>
    <s v="N/A"/>
    <s v="02-050-0403717"/>
    <s v="May 14 2025  4:02PM"/>
  </r>
  <r>
    <s v="مقيم"/>
    <s v="2422033973"/>
    <s v="محمد خان جمات خان"/>
    <s v="INV025262549"/>
    <x v="51"/>
    <x v="1"/>
    <s v="عالي"/>
    <s v="مجموعة عمل الأمراض المعدية الآخرى"/>
    <s v="*الملاريا"/>
    <s v="حالة"/>
    <x v="2"/>
    <s v="تنويم"/>
    <x v="0"/>
    <s v="المديرية العامة للشؤون الصحية في المدينة المنورة"/>
    <s v="المدينة المنورة"/>
    <s v="مركز صحي العزيزية"/>
    <s v="المديرية العامة للشؤون الصحية في المدينة المنورة"/>
    <s v="1982-01-01"/>
    <s v="43"/>
    <s v="ذكر"/>
    <x v="0"/>
    <s v="537111916"/>
    <s v="N/A"/>
    <s v="N/A"/>
    <s v="مفتوح"/>
    <s v="N/A"/>
    <s v="N/A"/>
    <s v="N/A"/>
    <s v="N/A"/>
    <s v="N/A"/>
    <s v="N/A"/>
    <s v="N/A"/>
  </r>
  <r>
    <s v="أخرى"/>
    <s v="001094044"/>
    <s v="KADA   SOW"/>
    <s v="INV025263318"/>
    <x v="52"/>
    <x v="5"/>
    <s v="عالي جدًا - حاج من الخارج"/>
    <s v="مجموعة عمل الأمراض المعدية الآخرى"/>
    <s v="*الملاريا"/>
    <s v="حالة"/>
    <x v="2"/>
    <s v="تنويم"/>
    <x v="1"/>
    <s v="المديرية العامة للشؤون الصحية في المدينة المنورة"/>
    <s v="المدينة المنورة"/>
    <s v="مستشفى الحرم الميداني"/>
    <s v="المديرية العامة للشؤون الصحية في المدينة المنورة"/>
    <s v="1959-01-01"/>
    <s v="66"/>
    <s v="انثى"/>
    <x v="16"/>
    <s v="506796692"/>
    <s v="N/A"/>
    <s v="N/A"/>
    <s v="مفتوح"/>
    <s v="N/A"/>
    <s v="N/A"/>
    <s v="N/A"/>
    <s v="N/A"/>
    <s v="N/A"/>
    <s v="02-050-0404580"/>
    <s v="May 15 2025 11:41PM"/>
  </r>
  <r>
    <s v="مقيم"/>
    <s v="2533951212"/>
    <s v="محمد غفران  صديقي"/>
    <s v="INV025263657"/>
    <x v="53"/>
    <x v="1"/>
    <s v="عالي"/>
    <s v="مجموعة عمل الأمراض المعدية الآخرى"/>
    <s v="*الملاريا"/>
    <s v="حالة"/>
    <x v="2"/>
    <s v="تنويم"/>
    <x v="0"/>
    <s v="المديرية العامة للشؤون الصحية في المدينة المنورة"/>
    <s v="المدينة المنورة"/>
    <s v="مركز الدعيثة للرعاية الصحية الاولية"/>
    <s v="المديرية العامة للشؤون الصحية في المدينة المنورة"/>
    <s v="1994-04-10"/>
    <s v="31"/>
    <s v="ذكر"/>
    <x v="12"/>
    <s v="582938579"/>
    <s v="N/A"/>
    <s v="N/A"/>
    <s v="مفتوح"/>
    <s v="N/A"/>
    <s v="N/A"/>
    <s v="N/A"/>
    <s v="N/A"/>
    <s v="N/A"/>
    <s v="02-050-0404810"/>
    <s v="May 17 2025  3:09PM"/>
  </r>
  <r>
    <s v="مواطن"/>
    <s v="1117970630"/>
    <s v="يزيد حسين بن هديبان الحربي"/>
    <s v="INV025263803"/>
    <x v="53"/>
    <x v="2"/>
    <s v="N/A"/>
    <s v="مجموعة عمل الأمراض المعدية الآخرى"/>
    <s v="*الملاريا"/>
    <s v="حالة"/>
    <x v="0"/>
    <s v="تنويم"/>
    <x v="4"/>
    <s v="المديرية العامة للشؤون الصحية في المدينة المنورة"/>
    <s v="المدينة المنورة"/>
    <s v="مركز صحي الدويمة للرعاية الصحية الأولية"/>
    <s v="المديرية العامة للشؤون الصحية في المدينة المنورة"/>
    <s v="1998-11-15"/>
    <s v="26"/>
    <s v="ذكر"/>
    <x v="4"/>
    <s v="580972379"/>
    <s v="N/A"/>
    <s v="N/A"/>
    <s v="مفتوح"/>
    <s v="N/A"/>
    <s v="N/A"/>
    <s v="N/A"/>
    <s v="N/A"/>
    <s v="N/A"/>
    <s v="02-050-0404911,02-050-0404912"/>
    <s v="May 17 2025 11:52PM,May 17 2025 11:53PM"/>
  </r>
  <r>
    <s v="أخرى"/>
    <s v="EZ05742331"/>
    <s v="مجتبى محمد ياسين بهني"/>
    <s v="INV025264763"/>
    <x v="54"/>
    <x v="1"/>
    <s v="متوسط"/>
    <s v="مجموعة عمل الأمراض المعدية الآخرى"/>
    <s v="*الملاريا"/>
    <s v="حالة"/>
    <x v="2"/>
    <s v="تحت الإجراء"/>
    <x v="12"/>
    <s v="المديرية العامة للشؤون الصحية في المدينة المنورة"/>
    <s v="المدينة المنورة"/>
    <s v="مركز صحي الحرة الشرقية"/>
    <s v="المديرية العامة للشؤون الصحية في المدينة المنورة"/>
    <s v="2022-10-09"/>
    <s v="2"/>
    <s v="ذكر"/>
    <x v="0"/>
    <s v="594072517"/>
    <s v="N/A"/>
    <s v="N/A"/>
    <s v="مفتوح"/>
    <s v="N/A"/>
    <s v="N/A"/>
    <s v="N/A"/>
    <s v="N/A"/>
    <s v="N/A"/>
    <s v="02-050-0406456"/>
    <s v="May 19 2025  3:07PM"/>
  </r>
  <r>
    <s v="مقيم"/>
    <s v="2604405429"/>
    <s v="ايمن امير بشاره ناصر"/>
    <s v="INV025265674"/>
    <x v="55"/>
    <x v="1"/>
    <s v="عالي"/>
    <s v="مجموعة عمل الأمراض المعدية الآخرى"/>
    <s v="*الملاريا"/>
    <s v="حالة"/>
    <x v="3"/>
    <s v="معلَق"/>
    <x v="21"/>
    <s v="المديرية العامة للشؤون الصحية في المدينة المنورة"/>
    <s v="المدينة المنورة"/>
    <s v="وحدة الأمراض المعدية"/>
    <s v="المديرية العامة للشؤون الصحية في المدينة المنورة"/>
    <s v="2003-11-19"/>
    <s v="21"/>
    <s v="ذكر"/>
    <x v="2"/>
    <s v="558710829"/>
    <s v="N/A"/>
    <s v="N/A"/>
    <s v="مفتوح"/>
    <s v="N/A"/>
    <s v="N/A"/>
    <s v="N/A"/>
    <s v="N/A"/>
    <s v="N/A"/>
    <s v="02-050-0406552"/>
    <s v="May 19 2025  5:12PM"/>
  </r>
  <r>
    <s v="أخرى"/>
    <s v="6142779340"/>
    <s v="MUHAMMADU   YAYAJI"/>
    <s v="INV025266476"/>
    <x v="56"/>
    <x v="2"/>
    <s v="عالي جدًا - حاج من الخارج"/>
    <s v="مجموعة عمل الأمراض المعدية الآخرى"/>
    <s v="*الملاريا"/>
    <s v="حالة"/>
    <x v="1"/>
    <s v="نقل داخلي"/>
    <x v="1"/>
    <s v="المديرية العامة للشؤون الصحية في المدينة المنورة"/>
    <s v="المدينة المنورة"/>
    <s v="مستشفى السلام"/>
    <s v="المديرية العامة للشؤون الصحية في المدينة المنورة"/>
    <s v="1975-07-12"/>
    <s v="49"/>
    <s v="ذكر"/>
    <x v="15"/>
    <s v="559933670"/>
    <s v="N/A"/>
    <s v="N/A"/>
    <s v="مغلق"/>
    <s v="N/A"/>
    <s v="N/A"/>
    <s v="N/A"/>
    <s v="N/A"/>
    <s v="N/A"/>
    <s v="02-050-0407334"/>
    <s v="May 20 2025  3:21PM"/>
  </r>
  <r>
    <s v="مقيم"/>
    <s v="2500240680"/>
    <s v="الامين محمد بله على"/>
    <s v="INV025266725"/>
    <x v="57"/>
    <x v="1"/>
    <s v="عالي"/>
    <s v="مجموعة عمل الأمراض المعدية الآخرى"/>
    <s v="*الملاريا"/>
    <s v="حالة"/>
    <x v="0"/>
    <s v="تنويم"/>
    <x v="0"/>
    <s v="المديرية العامة للشؤون الصحية في المدينة المنورة"/>
    <s v="المدينة المنورة"/>
    <s v="مركز صحي ريم للرعاية الصحية الأولية"/>
    <s v="المديرية العامة للشؤون الصحية في المدينة المنورة"/>
    <s v="1987-01-01"/>
    <s v="38"/>
    <s v="ذكر"/>
    <x v="2"/>
    <s v="596456669"/>
    <s v="N/A"/>
    <s v="N/A"/>
    <s v="مفتوح"/>
    <s v="N/A"/>
    <s v="N/A"/>
    <s v="N/A"/>
    <s v="حمى "/>
    <s v="May 17 2025 12:00AM"/>
    <s v="02-050-0407569"/>
    <s v="May 21 2025  8:30AM"/>
  </r>
  <r>
    <s v="مقيم"/>
    <s v="2597833371"/>
    <s v="سيمبا   شامار"/>
    <s v="INV025267805"/>
    <x v="58"/>
    <x v="1"/>
    <s v="عالي"/>
    <s v="مجموعة عمل الأمراض المعدية الآخرى"/>
    <s v="*الملاريا"/>
    <s v="حالة"/>
    <x v="0"/>
    <s v="تنويم"/>
    <x v="0"/>
    <s v="المديرية العامة للشؤون الصحية في المدينة المنورة"/>
    <s v="المدينة المنورة"/>
    <s v="مركز صحي العزيزية"/>
    <s v="المديرية العامة للشؤون الصحية في المدينة المنورة"/>
    <s v="2003-06-19"/>
    <s v="21"/>
    <s v="ذكر"/>
    <x v="17"/>
    <s v="571039116"/>
    <s v="N/A"/>
    <s v="N/A"/>
    <s v="مفتوح"/>
    <s v="N/A"/>
    <s v="N/A"/>
    <s v="N/A"/>
    <s v="N/A"/>
    <s v="N/A"/>
    <s v="02-050-0408699"/>
    <s v="May 22 2025 12:25PM"/>
  </r>
  <r>
    <s v="أخرى"/>
    <s v="6141991829"/>
    <s v="عيسى   موسى"/>
    <s v="INV025268160"/>
    <x v="58"/>
    <x v="2"/>
    <s v="عالي جدًا - حاج من الخارج"/>
    <s v="مجموعة عمل الأمراض المعدية الآخرى"/>
    <s v="*الملاريا"/>
    <s v="بلاغ أولي"/>
    <x v="1"/>
    <s v="حالة منتهية لا تتطلب اجراء اضافي"/>
    <x v="13"/>
    <s v="المديرية العامة للشؤون الصحية في المدينة المنورة"/>
    <s v="المدينة المنورة"/>
    <s v="مركز صحي الصافية"/>
    <s v="المديرية العامة للشؤون الصحية في المدينة المنورة"/>
    <s v="1975-06-03"/>
    <s v="50"/>
    <s v="ذكر"/>
    <x v="15"/>
    <s v="544649315"/>
    <s v="N/A"/>
    <s v="N/A"/>
    <s v="مغلق"/>
    <s v="N/A"/>
    <s v="N/A"/>
    <s v="N/A"/>
    <s v="N/A"/>
    <s v="N/A"/>
    <s v="02-050-0409012,02-050-0409013,02-050-0409059"/>
    <s v="May 22 2025 10:39PM,May 22 2025 10:43PM,May 23 2025  1:58PM"/>
  </r>
  <r>
    <s v="أخرى"/>
    <s v="P11092452"/>
    <s v="ELTIGANI MOHAMMED AHMED HAMD"/>
    <s v="INV025268284"/>
    <x v="59"/>
    <x v="1"/>
    <s v="عالي جدًا – سائح"/>
    <s v="مجموعة عمل الأمراض المعدية الآخرى"/>
    <s v="*الملاريا"/>
    <s v="حالة"/>
    <x v="2"/>
    <s v="تحت الإجراء"/>
    <x v="4"/>
    <s v="المديرية العامة للشؤون الصحية في المدينة المنورة"/>
    <s v="المدينة المنورة"/>
    <s v="مركز صحي الحرة الشرقية"/>
    <s v="المديرية العامة للشؤون الصحية في المدينة المنورة"/>
    <s v="1963-01-01"/>
    <s v="62"/>
    <s v="ذكر"/>
    <x v="2"/>
    <s v="550460215"/>
    <s v="N/A"/>
    <s v="N/A"/>
    <s v="مفتوح"/>
    <s v="N/A"/>
    <s v="N/A"/>
    <s v="N/A"/>
    <s v="N/A"/>
    <s v="N/A"/>
    <s v="02-050-0409073,02-050-0409074"/>
    <s v="May 23 2025  8:46PM,May 23 2025  8:48PM"/>
  </r>
  <r>
    <s v="مقيم"/>
    <s v="2495997245"/>
    <s v="امير تميم حمد العماس"/>
    <s v="INV025269541"/>
    <x v="60"/>
    <x v="0"/>
    <s v="عالي"/>
    <s v="مجموعة عمل الأمراض المعدية الآخرى"/>
    <s v="*الملاريا"/>
    <s v="حالة"/>
    <x v="0"/>
    <s v="تنويم"/>
    <x v="0"/>
    <s v="المديرية العامة للشؤون الصحية في المدينة المنورة"/>
    <s v="المدينة المنورة"/>
    <s v="مركز الرعاية الصحية الأولية حمراء الأسد"/>
    <s v="المديرية العامة للشؤون الصحية في المدينة المنورة"/>
    <s v="1984-01-01"/>
    <s v="41"/>
    <s v="ذكر"/>
    <x v="2"/>
    <s v="548023709"/>
    <s v="N/A"/>
    <s v="N/A"/>
    <s v="مفتوح"/>
    <s v="N/A"/>
    <s v="N/A"/>
    <s v="N/A"/>
    <s v="Vomiting,حمى "/>
    <s v="May 22 2025 12:00AM,May 21 2025 12:00AM"/>
    <s v="02-050-0410100"/>
    <s v="May 25 2025  3:03PM"/>
  </r>
  <r>
    <s v="مقيم"/>
    <s v="2568980532"/>
    <s v="محمد اقبال حاجي محمد نور محمد"/>
    <s v="INV025272973"/>
    <x v="61"/>
    <x v="0"/>
    <s v="متوسط"/>
    <s v="مجموعة عمل الأمراض المعدية الآخرى"/>
    <s v="*الملاريا"/>
    <s v="حالة"/>
    <x v="0"/>
    <s v="حالة منتهية لا تتطلب اجراء اضافي"/>
    <x v="19"/>
    <s v="المديرية العامة للشؤون الصحية في المدينة المنورة"/>
    <s v="المدينة المنورة"/>
    <s v="مستشفى المواساة للخدمات الطبية"/>
    <s v="المديرية العامة للشؤون الصحية في المدينة المنورة"/>
    <s v="1966-04-02"/>
    <s v="59"/>
    <s v="ذكر"/>
    <x v="5"/>
    <s v="507713023"/>
    <s v="N/A"/>
    <s v="N/A"/>
    <s v="مغلق"/>
    <s v="N/A"/>
    <s v="N/A"/>
    <s v="N/A"/>
    <s v="N/A"/>
    <s v="N/A"/>
    <s v="02-050-0413310"/>
    <s v="May 29 2025  8:13PM"/>
  </r>
  <r>
    <s v="أخرى"/>
    <s v="6142163002"/>
    <s v="انس   اداموا"/>
    <s v="INV025272982"/>
    <x v="61"/>
    <x v="2"/>
    <s v="عالي جدًا - حاج من الخارج"/>
    <s v="مجموعة عمل الأمراض المعدية الآخرى"/>
    <s v="*الملاريا"/>
    <s v="بلاغ أولي"/>
    <x v="1"/>
    <s v="حالة منتهية لا تتطلب اجراء اضافي"/>
    <x v="13"/>
    <s v="المديرية العامة للشؤون الصحية في المدينة المنورة"/>
    <s v="المدينة المنورة"/>
    <s v="مستشفى المدينة المنورة العام"/>
    <s v="المديرية العامة للشؤون الصحية في المدينة المنورة"/>
    <s v="2000-08-02"/>
    <s v="24"/>
    <s v="ذكر"/>
    <x v="15"/>
    <s v="560803190"/>
    <s v="N/A"/>
    <s v="N/A"/>
    <s v="مفتوح"/>
    <s v="N/A"/>
    <s v="N/A"/>
    <s v="N/A"/>
    <s v="N/A"/>
    <s v="N/A"/>
    <s v="02-050-0413315"/>
    <s v="May 29 2025  8:33PM"/>
  </r>
  <r>
    <s v="أخرى"/>
    <s v="B04342367 "/>
    <s v="anas   adamu"/>
    <s v="INV025273043"/>
    <x v="62"/>
    <x v="2"/>
    <s v="متوسط"/>
    <s v="مجموعة عمل الأمراض المعدية الآخرى"/>
    <s v="*الملاريا"/>
    <s v="حالة"/>
    <x v="1"/>
    <s v="يوجد خطأ في ما تم إدخاله"/>
    <x v="4"/>
    <s v="المديرية العامة للشؤون الصحية في المدينة المنورة"/>
    <s v="المدينة المنورة"/>
    <s v="مركز صحي باب جبريل للرعاية الصحية الأولية"/>
    <s v="المديرية العامة للشؤون الصحية في المدينة المنورة"/>
    <s v="2000-08-02"/>
    <s v="24"/>
    <s v="ذكر"/>
    <x v="15"/>
    <s v="507685699"/>
    <s v="N/A"/>
    <s v="N/A"/>
    <s v="مغلق"/>
    <s v="N/A"/>
    <s v="N/A"/>
    <s v="N/A"/>
    <s v="N/A"/>
    <s v="N/A"/>
    <s v="N/A"/>
    <s v="N/A"/>
  </r>
  <r>
    <s v="مقيم"/>
    <s v="2433960867"/>
    <s v="يوسف علي طورب علي"/>
    <s v="INV025273345"/>
    <x v="63"/>
    <x v="1"/>
    <s v="عالي"/>
    <s v="مجموعة عمل الأمراض المعدية الآخرى"/>
    <s v="*الملاريا"/>
    <s v="حالة"/>
    <x v="2"/>
    <s v="تنويم"/>
    <x v="0"/>
    <s v="المديرية العامة للشؤون الصحية في المدينة المنورة"/>
    <s v="المدينة المنورة"/>
    <s v="مركز صحي الأزهري"/>
    <s v="المديرية العامة للشؤون الصحية في المدينة المنورة"/>
    <s v="1984-06-05"/>
    <s v="41"/>
    <s v="ذكر"/>
    <x v="12"/>
    <s v="550011582"/>
    <s v="N/A"/>
    <s v="N/A"/>
    <s v="مفتوح"/>
    <s v="N/A"/>
    <s v="N/A"/>
    <s v="N/A"/>
    <s v="N/A"/>
    <s v="N/A"/>
    <s v="02-050-0413601"/>
    <s v="May 31 2025 11:37AM"/>
  </r>
  <r>
    <s v="أخرى"/>
    <s v="6135145091"/>
    <s v="صالح مراد صالح حسين"/>
    <s v="INV025276071"/>
    <x v="64"/>
    <x v="0"/>
    <s v="عالي"/>
    <s v="مجموعة عمل الأمراض المعدية الآخرى"/>
    <s v="*الملاريا"/>
    <s v="حالة"/>
    <x v="2"/>
    <s v="تنويم"/>
    <x v="0"/>
    <s v="المديرية العامة للشؤون الصحية في المدينة المنورة"/>
    <s v="المدينة المنورة"/>
    <s v="مركز شوران للرعاية الصحية الأولية"/>
    <s v="المديرية العامة للشؤون الصحية في المدينة المنورة"/>
    <s v="2008-12-08"/>
    <s v="16"/>
    <s v="ذكر"/>
    <x v="7"/>
    <s v="500868610"/>
    <s v="N/A"/>
    <s v="N/A"/>
    <s v="مفتوح"/>
    <s v="N/A"/>
    <s v="N/A"/>
    <s v="N/A"/>
    <s v="N/A"/>
    <s v="N/A"/>
    <s v="02-050-0417651"/>
    <s v="Jun  9 2025  2:45PM"/>
  </r>
  <r>
    <s v="مقيم"/>
    <s v="2335103459"/>
    <s v="تواب علي مختار علي"/>
    <s v="INV025276687"/>
    <x v="65"/>
    <x v="1"/>
    <s v="متوسط"/>
    <s v="مجموعة عمل الأمراض المعدية الآخرى"/>
    <s v="*الملاريا"/>
    <s v="حالة"/>
    <x v="0"/>
    <s v="تنويم"/>
    <x v="8"/>
    <s v="المديرية العامة للشؤون الصحية في المدينة المنورة"/>
    <s v="المدينة المنورة"/>
    <s v="مركز صحى الغزلانى"/>
    <s v="المديرية العامة للشؤون الصحية في المدينة المنورة"/>
    <s v="1990-01-01"/>
    <s v="35"/>
    <s v="ذكر"/>
    <x v="0"/>
    <s v="554424577"/>
    <s v="N/A"/>
    <s v="N/A"/>
    <s v="مغلق"/>
    <s v="N/A"/>
    <s v="N/A"/>
    <s v="N/A"/>
    <s v="N/A"/>
    <s v="N/A"/>
    <s v="02-050-0416491"/>
    <s v="Jun  5 2025  7:22PM"/>
  </r>
  <r>
    <s v="مقيم"/>
    <s v="2467096042"/>
    <s v="ايمن عمر العوض محمد"/>
    <s v="INV025276778"/>
    <x v="66"/>
    <x v="1"/>
    <s v="عالي"/>
    <s v="مجموعة عمل الأمراض المعدية الآخرى"/>
    <s v="*الملاريا"/>
    <s v="حالة"/>
    <x v="2"/>
    <s v="تنويم"/>
    <x v="0"/>
    <s v="المديرية العامة للشؤون الصحية في المدينة المنورة"/>
    <s v="المدينة المنورة"/>
    <s v="مركز صحي الحرة الشرقية"/>
    <s v="المديرية العامة للشؤون الصحية في المدينة المنورة"/>
    <s v="1983-01-01"/>
    <s v="42"/>
    <s v="ذكر"/>
    <x v="2"/>
    <s v="577012495"/>
    <s v="N/A"/>
    <s v="N/A"/>
    <s v="مفتوح"/>
    <s v="N/A"/>
    <s v="N/A"/>
    <s v="N/A"/>
    <s v="N/A"/>
    <s v="N/A"/>
    <s v="02-050-0417646"/>
    <s v="Jun  9 2025  2:41PM"/>
  </r>
  <r>
    <s v="مواطن"/>
    <s v="1059020311"/>
    <s v="محمد سالم عويض الحربي"/>
    <s v="INV025277978"/>
    <x v="67"/>
    <x v="2"/>
    <s v="منخفض"/>
    <s v="مجموعة عمل الأمراض المعدية الآخرى"/>
    <s v="*الملاريا"/>
    <s v="حالة"/>
    <x v="1"/>
    <s v="يوجد خطأ في ما تم إدخاله"/>
    <x v="0"/>
    <s v="المديرية العامة للشؤون الصحية في المدينة المنورة"/>
    <s v="المدينة المنورة"/>
    <s v="مركز صحي حي الملك فهد بالمدينة المنورة"/>
    <s v="المديرية العامة للشؤون الصحية في المدينة المنورة"/>
    <s v="1960-12-19"/>
    <s v="64"/>
    <s v="ذكر"/>
    <x v="4"/>
    <s v="554611930"/>
    <s v="Failed"/>
    <s v="Jun  9 2025 12:00AM"/>
    <s v="مفتوح"/>
    <s v="N/A"/>
    <s v="N/A"/>
    <s v="N/A"/>
    <s v="N/A"/>
    <s v="N/A"/>
    <s v="N/A"/>
    <s v="N/A"/>
  </r>
  <r>
    <s v="مواطن"/>
    <s v="1036418711"/>
    <s v="صالح عوض محمد الرحيلي"/>
    <s v="INV025277981"/>
    <x v="67"/>
    <x v="2"/>
    <s v="عالي"/>
    <s v="مجموعة عمل الأمراض المعدية الآخرى"/>
    <s v="*الملاريا"/>
    <s v="حالة"/>
    <x v="2"/>
    <s v="يوجد خطأ في ما تم إدخاله"/>
    <x v="0"/>
    <s v="المديرية العامة للشؤون الصحية في المدينة المنورة"/>
    <s v="المدينة المنورة"/>
    <s v="مركز  صحي سيد الشهداء"/>
    <s v="المديرية العامة للشؤون الصحية في المدينة المنورة"/>
    <s v="1959-01-11"/>
    <s v="66"/>
    <s v="ذكر"/>
    <x v="4"/>
    <s v="560302071"/>
    <s v="N/A"/>
    <s v="N/A"/>
    <s v="مغلق"/>
    <s v="N/A"/>
    <s v="N/A"/>
    <s v="N/A"/>
    <s v="N/A"/>
    <s v="N/A"/>
    <s v="N/A"/>
    <s v="N/A"/>
  </r>
  <r>
    <s v="أخرى"/>
    <s v="P11670969"/>
    <s v="إسراء   النور"/>
    <s v="INV025277986"/>
    <x v="67"/>
    <x v="1"/>
    <s v="عالي"/>
    <s v="مجموعة عمل الأمراض المعدية الآخرى"/>
    <s v="*الملاريا"/>
    <s v="حالة"/>
    <x v="2"/>
    <s v="تنويم"/>
    <x v="0"/>
    <s v="المديرية العامة للشؤون الصحية في المدينة المنورة"/>
    <s v="المدينة المنورة"/>
    <s v="مركز صحي المخطط الجنوبي"/>
    <s v="المديرية العامة للشؤون الصحية في المدينة المنورة"/>
    <s v="1990-05-01"/>
    <s v="35"/>
    <s v="انثى"/>
    <x v="2"/>
    <s v="532021327"/>
    <s v="N/A"/>
    <s v="N/A"/>
    <s v="مفتوح"/>
    <s v="N/A"/>
    <s v="N/A"/>
    <s v="N/A"/>
    <s v="N/A"/>
    <s v="N/A"/>
    <s v="02-050-0417641"/>
    <s v="Jun  9 2025  2:37PM"/>
  </r>
  <r>
    <s v="مقيم"/>
    <s v="2593130210"/>
    <s v="دبريتو   اورلوري"/>
    <s v="INV025281016"/>
    <x v="68"/>
    <x v="1"/>
    <s v="عالي"/>
    <s v="مجموعة عمل الأمراض المعدية الآخرى"/>
    <s v="*الملاريا"/>
    <s v="حالة"/>
    <x v="0"/>
    <s v="تنويم"/>
    <x v="0"/>
    <s v="المديرية العامة للشؤون الصحية في المدينة المنورة"/>
    <s v="المدينة المنورة"/>
    <s v="مركز القصواء للرعاية الصحية الأولية"/>
    <s v="المديرية العامة للشؤون الصحية في المدينة المنورة"/>
    <s v="2003-06-17"/>
    <s v="22"/>
    <s v="انثى"/>
    <x v="1"/>
    <s v="569538481"/>
    <s v="N/A"/>
    <s v="N/A"/>
    <s v="مفتوح"/>
    <s v="N/A"/>
    <s v="N/A"/>
    <s v="N/A"/>
    <s v="N/A"/>
    <s v="N/A"/>
    <s v="02-050-0420091"/>
    <s v="Jun 15 2025 10:11AM"/>
  </r>
  <r>
    <s v="مقيم"/>
    <s v="2487196780"/>
    <s v="محمد جواد بير محمد خان"/>
    <s v="INV025281037"/>
    <x v="68"/>
    <x v="1"/>
    <s v="عالي"/>
    <s v="مجموعة عمل الأمراض المعدية الآخرى"/>
    <s v="*الملاريا"/>
    <s v="حالة"/>
    <x v="0"/>
    <s v="تنويم"/>
    <x v="0"/>
    <s v="المديرية العامة للشؤون الصحية في المدينة المنورة"/>
    <s v="المدينة المنورة"/>
    <s v="مركز صحي العوالي للرعاية الصحية الأولية بالمدينة المنورة"/>
    <s v="المديرية العامة للشؤون الصحية في المدينة المنورة"/>
    <s v="1998-05-20"/>
    <s v="27"/>
    <s v="ذكر"/>
    <x v="0"/>
    <s v="590482523"/>
    <s v="N/A"/>
    <s v="N/A"/>
    <s v="مفتوح"/>
    <s v="N/A"/>
    <s v="N/A"/>
    <s v="N/A"/>
    <s v="N/A"/>
    <s v="N/A"/>
    <s v="02-050-0420112"/>
    <s v="Jun 15 2025 10:27AM"/>
  </r>
  <r>
    <s v="أخرى"/>
    <s v="6143066953"/>
    <s v="Abdalla Ibrahil Abdalla Ibrahil"/>
    <s v="INV025281421"/>
    <x v="68"/>
    <x v="0"/>
    <s v="عالي"/>
    <s v="مجموعة عمل الأمراض المعدية الآخرى"/>
    <s v="*الملاريا"/>
    <s v="حالة"/>
    <x v="0"/>
    <s v="حالة منتهية لا تتطلب اجراء اضافي"/>
    <x v="22"/>
    <s v="المديرية العامة للشؤون الصحية في المدينة المنورة"/>
    <s v="المدينة المنورة"/>
    <s v="مركز صحي المهد"/>
    <s v="المديرية العامة للشؤون الصحية في المدينة المنورة"/>
    <s v="1998-10-04"/>
    <s v="26"/>
    <s v="ذكر"/>
    <x v="1"/>
    <s v="507155539"/>
    <s v="N/A"/>
    <s v="N/A"/>
    <s v="مفتوح"/>
    <s v="N/A"/>
    <s v="N/A"/>
    <s v="N/A"/>
    <s v="صداع ,Jaundice,Fever&gt;= 38"/>
    <s v="Jun 14 2025 12:00AM,Jun 13 2025 12:00AM,Jun 13 2025 12:00AM"/>
    <s v="N/A"/>
    <s v="N/A"/>
  </r>
  <r>
    <s v="رقم حدود"/>
    <s v="3562723894"/>
    <s v="'-   -"/>
    <s v="INV025282613"/>
    <x v="69"/>
    <x v="2"/>
    <s v="متوسط"/>
    <s v="مجموعة عمل الأمراض المعدية الآخرى"/>
    <s v="*الملاريا"/>
    <s v="حالة"/>
    <x v="2"/>
    <s v="تنويم"/>
    <x v="8"/>
    <s v="المديرية العامة للشؤون الصحية في المدينة المنورة"/>
    <s v="المدينة المنورة"/>
    <s v="مركز صحى الغزلانى"/>
    <s v="المديرية العامة للشؤون الصحية في المدينة المنورة"/>
    <s v="2001-10-21"/>
    <s v="23"/>
    <s v="انثى"/>
    <x v="1"/>
    <s v="557509603"/>
    <s v="N/A"/>
    <s v="N/A"/>
    <s v="مفتوح"/>
    <s v="N/A"/>
    <s v="N/A"/>
    <s v="N/A"/>
    <s v="N/A"/>
    <s v="N/A"/>
    <s v="02-050-0421616"/>
    <s v="Jun 17 2025 10:18AM"/>
  </r>
  <r>
    <s v="مقيم"/>
    <s v="2602995413"/>
    <s v="منيره ماما  نوريا"/>
    <s v="INV025283711"/>
    <x v="70"/>
    <x v="1"/>
    <s v="عالي"/>
    <s v="مجموعة عمل الأمراض المعدية الآخرى"/>
    <s v="*الملاريا"/>
    <s v="حالة"/>
    <x v="0"/>
    <s v="تنويم"/>
    <x v="0"/>
    <s v="المديرية العامة للشؤون الصحية في المدينة المنورة"/>
    <s v="المدينة المنورة"/>
    <s v="مستشفى الميقات العام"/>
    <s v="المديرية العامة للشؤون الصحية في المدينة المنورة"/>
    <s v="1998-01-01"/>
    <s v="27"/>
    <s v="انثى"/>
    <x v="1"/>
    <s v="523145954"/>
    <s v="N/A"/>
    <s v="N/A"/>
    <s v="مفتوح"/>
    <s v="N/A"/>
    <s v="N/A"/>
    <s v="N/A"/>
    <s v="N/A"/>
    <s v="N/A"/>
    <s v="02-050-0422613"/>
    <s v="Jun 18 2025  1:57PM"/>
  </r>
  <r>
    <s v="أخرى"/>
    <s v="EQ1255393"/>
    <s v="فيروزا   أباميشا"/>
    <s v="INV025283720"/>
    <x v="70"/>
    <x v="1"/>
    <s v="عالي"/>
    <s v="مجموعة عمل الأمراض المعدية الآخرى"/>
    <s v="*الملاريا"/>
    <s v="حالة"/>
    <x v="0"/>
    <s v="تنويم"/>
    <x v="0"/>
    <s v="المديرية العامة للشؤون الصحية في المدينة المنورة"/>
    <s v="المدينة المنورة"/>
    <s v="مركز صحي بدر"/>
    <s v="المديرية العامة للشؤون الصحية في المدينة المنورة"/>
    <s v="2001-10-21"/>
    <s v="23"/>
    <s v="انثى"/>
    <x v="1"/>
    <s v="557509603"/>
    <s v="N/A"/>
    <s v="N/A"/>
    <s v="مفتوح"/>
    <s v="N/A"/>
    <s v="N/A"/>
    <s v="N/A"/>
    <s v="N/A"/>
    <s v="N/A"/>
    <s v="02-050-0422621"/>
    <s v="Jun 18 2025  2:00PM"/>
  </r>
  <r>
    <s v="أخرى"/>
    <s v="6143221639"/>
    <s v="حياه   مولا"/>
    <s v="INV025283726"/>
    <x v="70"/>
    <x v="0"/>
    <s v="عالي"/>
    <s v="مجموعة عمل الأمراض المعدية الآخرى"/>
    <s v="*الملاريا"/>
    <s v="حالة"/>
    <x v="0"/>
    <s v="حالة منتهية لا تتطلب اجراء اضافي"/>
    <x v="0"/>
    <s v="المديرية العامة للشؤون الصحية في المدينة المنورة"/>
    <s v="المدينة المنورة"/>
    <s v="مركز صحي طيبة"/>
    <s v="المديرية العامة للشؤون الصحية في المدينة المنورة"/>
    <s v="1999-10-07"/>
    <s v="25"/>
    <s v="انثى"/>
    <x v="1"/>
    <s v="506338113"/>
    <s v="Recovered"/>
    <s v="Jun 21 2025 12:00AM"/>
    <s v="مغلق"/>
    <s v="N/A"/>
    <s v="N/A"/>
    <s v="N/A"/>
    <s v="N/A"/>
    <s v="N/A"/>
    <s v="02-050-0422631"/>
    <s v="Jun 18 2025  2:03PM"/>
  </r>
  <r>
    <s v="مواطن"/>
    <s v="1089499576"/>
    <s v="عبدالرحمن عوض دليم البلوي"/>
    <s v="INV025284669"/>
    <x v="71"/>
    <x v="0"/>
    <s v="عالي"/>
    <s v="مجموعة عمل الأمراض المعدية الآخرى"/>
    <s v="*الملاريا"/>
    <s v="حالة"/>
    <x v="2"/>
    <s v="تنويم"/>
    <x v="15"/>
    <s v="المديرية العامة للشؤون الصحية في المدينة المنورة"/>
    <s v="المدينة المنورة"/>
    <s v="مركز صحي مدائن صالح"/>
    <s v="المديرية العامة للشؤون الصحية في المدينة المنورة"/>
    <s v="1993-02-08"/>
    <s v="32"/>
    <s v="ذكر"/>
    <x v="4"/>
    <s v="554677051"/>
    <s v="N/A"/>
    <s v="N/A"/>
    <s v="مفتوح"/>
    <s v="N/A"/>
    <s v="N/A"/>
    <s v="N/A"/>
    <s v="N/A"/>
    <s v="N/A"/>
    <s v="02-050-0424058"/>
    <s v="Jun 22 2025  7:23AM"/>
  </r>
  <r>
    <s v="أخرى"/>
    <s v="P11195235 "/>
    <s v="ELHIBER MOHAMED HUSSEIN IBRAHIM"/>
    <s v="INV025284700"/>
    <x v="71"/>
    <x v="1"/>
    <s v="عالي جدًا – سائح"/>
    <s v="مجموعة عمل الأمراض المعدية الآخرى"/>
    <s v="*الملاريا"/>
    <s v="حالة"/>
    <x v="0"/>
    <s v="تنويم"/>
    <x v="4"/>
    <s v="المديرية العامة للشؤون الصحية في المدينة المنورة"/>
    <s v="المدينة المنورة"/>
    <s v="مركز صحي العوالي للرعاية الصحية الأولية بالمدينة المنورة"/>
    <s v="المديرية العامة للشؤون الصحية في المدينة المنورة"/>
    <s v="2003-07-08"/>
    <s v="21"/>
    <s v="ذكر"/>
    <x v="2"/>
    <s v="554132783"/>
    <s v="N/A"/>
    <s v="N/A"/>
    <s v="مفتوح"/>
    <s v="N/A"/>
    <s v="N/A"/>
    <s v="N/A"/>
    <s v="Vomiting,حمى ,صداع "/>
    <s v="Jun 20 2025 12:00AM,Jun 20 2025 12:00AM,Jun 20 2025 12:00AM"/>
    <s v="02-050-0423719,02-050-0423720"/>
    <s v="Jun 20 2025 10:17AM,Jun 20 2025 10:18AM"/>
  </r>
  <r>
    <s v="مقيم"/>
    <s v="2596460309"/>
    <s v="جونيد خان غلام خان"/>
    <s v="INV025284915"/>
    <x v="72"/>
    <x v="1"/>
    <s v="عالي"/>
    <s v="مجموعة عمل الأمراض المعدية الآخرى"/>
    <s v="*الملاريا"/>
    <s v="حالة"/>
    <x v="0"/>
    <s v="حالة منتهية لا تتطلب اجراء اضافي"/>
    <x v="0"/>
    <s v="المديرية العامة للشؤون الصحية في المدينة المنورة"/>
    <s v="المدينة المنورة"/>
    <s v="مركز الدفاع للرعاية الصحية الاولية"/>
    <s v="المديرية العامة للشؤون الصحية في المدينة المنورة"/>
    <s v="2001-12-15"/>
    <s v="23"/>
    <s v="ذكر"/>
    <x v="0"/>
    <s v="565430835"/>
    <s v="N/A"/>
    <s v="N/A"/>
    <s v="مغلق"/>
    <s v="N/A"/>
    <s v="N/A"/>
    <s v="N/A"/>
    <s v="N/A"/>
    <s v="N/A"/>
    <s v="02-050-0423887"/>
    <s v="Jun 21 2025 12:56PM"/>
  </r>
  <r>
    <s v="أخرى"/>
    <s v="rn1227691"/>
    <s v="جول   امريز"/>
    <s v="INV025285095"/>
    <x v="72"/>
    <x v="1"/>
    <s v="عالي جدًا - حاج من الخارج"/>
    <s v="مجموعة عمل الأمراض المعدية الآخرى"/>
    <s v="*الملاريا"/>
    <s v="حالة"/>
    <x v="0"/>
    <s v="حالة منتهية لا تتطلب اجراء اضافي"/>
    <x v="23"/>
    <s v="المديرية العامة للشؤون الصحية في المدينة المنورة"/>
    <s v="المدينة المنورة"/>
    <s v="مستشفى الحرم الميداني"/>
    <s v="المديرية العامة للشؤون الصحية في المدينة المنورة"/>
    <s v="1971-01-01"/>
    <s v="54"/>
    <s v="ذكر"/>
    <x v="0"/>
    <s v="551318456"/>
    <s v="Recovered"/>
    <s v="Jun 22 2025 12:00AM"/>
    <s v="مغلق"/>
    <s v="N/A"/>
    <s v="N/A"/>
    <s v="N/A"/>
    <s v="N/A"/>
    <s v="N/A"/>
    <s v="02-050-0424027"/>
    <s v="Jun 21 2025 10:25PM"/>
  </r>
  <r>
    <s v="أخرى"/>
    <s v="EQ1401981"/>
    <s v="Yones Alebachew Yones Mohammed"/>
    <s v="INV025285415"/>
    <x v="73"/>
    <x v="0"/>
    <s v="عالي"/>
    <s v="مجموعة عمل الأمراض المعدية الآخرى"/>
    <s v="*الملاريا"/>
    <s v="حالة"/>
    <x v="2"/>
    <s v="تنويم"/>
    <x v="22"/>
    <s v="المديرية العامة للشؤون الصحية في المدينة المنورة"/>
    <s v="المدينة المنورة"/>
    <s v="مركز صحي المهد"/>
    <s v="المديرية العامة للشؤون الصحية في المدينة المنورة"/>
    <s v="2004-01-23"/>
    <s v="21"/>
    <s v="ذكر"/>
    <x v="1"/>
    <s v="531310369"/>
    <s v="N/A"/>
    <s v="N/A"/>
    <s v="مفتوح"/>
    <s v="N/A"/>
    <s v="N/A"/>
    <s v="N/A"/>
    <s v="Vomiting,حمى ,Diarrhea"/>
    <s v="Jun 21 2025 12:00AM,Jun 22 2025 12:00AM,Jun 22 2025 12:00AM"/>
    <s v="02-050-0424358"/>
    <s v="Jun 22 2025 10:10AM"/>
  </r>
  <r>
    <s v="مقيم"/>
    <s v="2476732629"/>
    <s v="صمد حسين ساكر علي"/>
    <s v="INV025285719"/>
    <x v="73"/>
    <x v="1"/>
    <s v="عالي"/>
    <s v="مجموعة عمل الأمراض المعدية الآخرى"/>
    <s v="*الملاريا"/>
    <s v="حالة"/>
    <x v="2"/>
    <s v="تنويم"/>
    <x v="0"/>
    <s v="المديرية العامة للشؤون الصحية في المدينة المنورة"/>
    <s v="المدينة المنورة"/>
    <s v="مركز شوران للرعاية الصحية الأولية"/>
    <s v="المديرية العامة للشؤون الصحية في المدينة المنورة"/>
    <s v="1990-11-10"/>
    <s v="34"/>
    <s v="ذكر"/>
    <x v="12"/>
    <s v="571653394"/>
    <s v="N/A"/>
    <s v="N/A"/>
    <s v="مفتوح"/>
    <s v="N/A"/>
    <s v="N/A"/>
    <s v="N/A"/>
    <s v="N/A"/>
    <s v="N/A"/>
    <s v="02-050-0424644"/>
    <s v="Jun 22 2025  1:34PM"/>
  </r>
  <r>
    <s v="مقيم"/>
    <s v="2528837566"/>
    <s v="واجد علي حبدار علي"/>
    <s v="INV025288834"/>
    <x v="74"/>
    <x v="1"/>
    <s v="عالي"/>
    <s v="مجموعة عمل الأمراض المعدية الآخرى"/>
    <s v="*الملاريا"/>
    <s v="حالة"/>
    <x v="2"/>
    <s v="تنويم"/>
    <x v="0"/>
    <s v="المديرية العامة للشؤون الصحية في المدينة المنورة"/>
    <s v="المدينة المنورة"/>
    <s v="مركز الرعاية الصحية الاولية باليتمة"/>
    <s v="المديرية العامة للشؤون الصحية في المدينة المنورة"/>
    <s v="1992-09-28"/>
    <s v="32"/>
    <s v="ذكر"/>
    <x v="0"/>
    <s v="508373695"/>
    <s v="N/A"/>
    <s v="N/A"/>
    <s v="مفتوح"/>
    <s v="N/A"/>
    <s v="N/A"/>
    <s v="N/A"/>
    <s v="Vomiting,حمى "/>
    <s v="Jun 25 2025 12:00AM,Jun 24 2025 12:00AM"/>
    <s v="02-050-0427883"/>
    <s v="Jun 26 2025  2:34PM"/>
  </r>
  <r>
    <s v="مقيم"/>
    <s v="2483612863"/>
    <s v="حسين حماد الخير حسن"/>
    <s v="INV025289050"/>
    <x v="75"/>
    <x v="2"/>
    <s v="منخفض"/>
    <s v="مجموعة عمل الأمراض المعدية الآخرى"/>
    <s v="*الملاريا"/>
    <s v="بلاغ أولي"/>
    <x v="2"/>
    <s v="معلَق"/>
    <x v="3"/>
    <s v="المديرية العامة للشؤون الصحية في المدينة المنورة"/>
    <s v="المدينة المنورة"/>
    <s v="مستشفى خيبر العام"/>
    <s v="المديرية العامة للشؤون الصحية في المدينة المنورة"/>
    <s v="1993-01-01"/>
    <s v="32"/>
    <s v="ذكر"/>
    <x v="2"/>
    <s v="596510998"/>
    <s v="N/A"/>
    <s v="N/A"/>
    <s v="مفتوح"/>
    <s v="N/A"/>
    <s v="N/A"/>
    <s v="N/A"/>
    <s v="N/A"/>
    <s v="N/A"/>
    <s v="02-050-0430208"/>
    <s v="Jul  1 2025 12:19PM"/>
  </r>
  <r>
    <s v="أخرى"/>
    <s v="p12866376"/>
    <s v="نسمه ضيف الله عبدالكريم احمد"/>
    <s v="INV025289639"/>
    <x v="76"/>
    <x v="1"/>
    <s v="عالي"/>
    <s v="مجموعة عمل الأمراض المعدية الآخرى"/>
    <s v="*الملاريا"/>
    <s v="حالة"/>
    <x v="2"/>
    <s v="معلَق"/>
    <x v="11"/>
    <s v="المديرية العامة للشؤون الصحية في المدينة المنورة"/>
    <s v="المدينة المنورة"/>
    <s v="مركز رعاية صحية أوليه ينبع النخل"/>
    <s v="المديرية العامة للشؤون الصحية في المدينة المنورة"/>
    <s v="1984-01-31"/>
    <s v="41"/>
    <s v="انثى"/>
    <x v="2"/>
    <s v="577420566"/>
    <s v="N/A"/>
    <s v="N/A"/>
    <s v="مفتوح"/>
    <s v="N/A"/>
    <s v="N/A"/>
    <s v="N/A"/>
    <s v="N/A"/>
    <s v="N/A"/>
    <s v="02-050-0428560"/>
    <s v="Jun 29 2025  9:43AM"/>
  </r>
  <r>
    <s v="مقيم"/>
    <s v="2379684646"/>
    <s v="معتصم عباس يوسف محمد"/>
    <s v="INV025289824"/>
    <x v="76"/>
    <x v="2"/>
    <s v="N/A"/>
    <s v="مجموعة عمل الأمراض المعدية الآخرى"/>
    <s v="*الملاريا"/>
    <s v="حالة"/>
    <x v="1"/>
    <s v="تنويم"/>
    <x v="24"/>
    <s v="المديرية العامة للشؤون الصحية في المدينة المنورة"/>
    <s v="المدينة المنورة"/>
    <s v="مركز صحي المربع"/>
    <s v="المديرية العامة للشؤون الصحية في المدينة المنورة"/>
    <s v="1980-01-01"/>
    <s v="45"/>
    <s v="ذكر"/>
    <x v="2"/>
    <s v="554276170"/>
    <s v="N/A"/>
    <s v="N/A"/>
    <s v="مغلق"/>
    <s v="N/A"/>
    <s v="N/A"/>
    <s v="N/A"/>
    <s v="N/A"/>
    <s v="N/A"/>
    <s v="02-050-0428669"/>
    <s v="Jun 29 2025 11:15AM"/>
  </r>
  <r>
    <s v="أخرى"/>
    <s v="3568125672 "/>
    <s v="YONS TELAY   TELAY"/>
    <s v="INV025290051"/>
    <x v="76"/>
    <x v="0"/>
    <s v="عالي"/>
    <s v="مجموعة عمل الأمراض المعدية الآخرى"/>
    <s v="*الملاريا"/>
    <s v="حالة"/>
    <x v="3"/>
    <s v="تحت الإجراء"/>
    <x v="4"/>
    <s v="المديرية العامة للشؤون الصحية في المدينة المنورة"/>
    <s v="المدينة المنورة"/>
    <s v="مركز صحي باقدو الدويخلة للرعاية الصحية الأولية"/>
    <s v="المديرية العامة للشؤون الصحية في المدينة المنورة"/>
    <s v="2000-12-04"/>
    <s v="24"/>
    <s v="ذكر"/>
    <x v="1"/>
    <s v="553892903"/>
    <s v="N/A"/>
    <s v="N/A"/>
    <s v="مفتوح"/>
    <s v="N/A"/>
    <s v="N/A"/>
    <s v="N/A"/>
    <s v="N/A"/>
    <s v="N/A"/>
    <s v="02-050-0428991,02-050-0428996"/>
    <s v="Jun 29 2025  3:01PM,Jun 29 2025  3:03PM"/>
  </r>
  <r>
    <s v="أخرى"/>
    <s v="6135673302"/>
    <s v="fatima ahmad ahmad ahmad"/>
    <s v="INV025293601"/>
    <x v="77"/>
    <x v="1"/>
    <s v="N/A"/>
    <s v="مجموعة عمل الأمراض المعدية الآخرى"/>
    <s v="*الملاريا"/>
    <s v="حالة"/>
    <x v="2"/>
    <s v="تنويم"/>
    <x v="24"/>
    <s v="المديرية العامة للشؤون الصحية في المدينة المنورة"/>
    <s v="المدينة المنورة"/>
    <s v="مركز الرعاية الصحية الآولية بالعيص"/>
    <s v="المديرية العامة للشؤون الصحية في المدينة المنورة"/>
    <s v="2000-01-19"/>
    <s v="25"/>
    <s v="انثى"/>
    <x v="1"/>
    <n v="531262174"/>
    <s v="N/A"/>
    <s v="N/A"/>
    <s v="مفتوح"/>
    <s v="N/A"/>
    <s v="N/A"/>
    <s v="N/A"/>
    <s v="N/A"/>
    <s v="N/A"/>
    <s v="02-050-0432066"/>
    <s v="Jul  6 2025  8:47AM"/>
  </r>
  <r>
    <s v="مواطن"/>
    <s v="1118966330"/>
    <s v="ناصر سعيد داله الرشيدي"/>
    <s v="INV025294427"/>
    <x v="78"/>
    <x v="3"/>
    <s v="عالي"/>
    <s v="مجموعة عمل الأمراض المعدية الآخرى"/>
    <s v="*الملاريا"/>
    <s v="حالة"/>
    <x v="0"/>
    <s v="حالة منتهية لا تتطلب اجراء اضافي"/>
    <x v="0"/>
    <s v="المديرية العامة للشؤون الصحية في المدينة المنورة"/>
    <s v="المدينة المنورة"/>
    <s v="مركز صحي العزيزية"/>
    <s v="المديرية العامة للشؤون الصحية في المدينة المنورة"/>
    <s v="2003-01-08"/>
    <s v="22"/>
    <s v="ذكر"/>
    <x v="4"/>
    <n v="538561182"/>
    <s v="N/A"/>
    <s v="N/A"/>
    <s v="مفتوح"/>
    <s v="N/A"/>
    <s v="N/A"/>
    <s v="N/A"/>
    <s v="N/A"/>
    <s v="N/A"/>
    <s v="02-050-0432889"/>
    <s v="Jul  7 2025  8:15AM"/>
  </r>
  <r>
    <s v="مقيم"/>
    <s v="2542661174"/>
    <s v="هامزا   سيبيغا"/>
    <s v="INV025294437"/>
    <x v="78"/>
    <x v="1"/>
    <s v="عالي"/>
    <s v="مجموعة عمل الأمراض المعدية الآخرى"/>
    <s v="*الملاريا"/>
    <s v="حالة"/>
    <x v="0"/>
    <s v="تنويم"/>
    <x v="0"/>
    <s v="المديرية العامة للشؤون الصحية في المدينة المنورة"/>
    <s v="المدينة المنورة"/>
    <s v="المركز الطبي الجامعي بالجامعة الاسلامية"/>
    <s v="المديرية العامة للشؤون الصحية في المدينة المنورة"/>
    <s v="1999-04-08"/>
    <s v="26"/>
    <s v="ذكر"/>
    <x v="3"/>
    <s v="571089001"/>
    <s v="N/A"/>
    <s v="N/A"/>
    <s v="مفتوح"/>
    <s v="N/A"/>
    <s v="N/A"/>
    <s v="N/A"/>
    <s v="N/A"/>
    <s v="N/A"/>
    <s v="02-050-0432899"/>
    <s v="Jul  7 2025  8:21AM"/>
  </r>
  <r>
    <s v="أخرى"/>
    <s v="6143861513"/>
    <s v="حسن   جمير"/>
    <s v="INV025294885"/>
    <x v="78"/>
    <x v="0"/>
    <s v="عالي جدًا - معتمر من الخارج"/>
    <s v="مجموعة عمل الأمراض المعدية الآخرى"/>
    <s v="*الملاريا"/>
    <s v="حالة"/>
    <x v="0"/>
    <s v="حالة منتهية لا تتطلب اجراء اضافي"/>
    <x v="23"/>
    <s v="المديرية العامة للشؤون الصحية في المدينة المنورة"/>
    <s v="المدينة المنورة"/>
    <s v="مستشفى الحرم الميداني"/>
    <s v="المديرية العامة للشؤون الصحية في المدينة المنورة"/>
    <s v="1987-06-05"/>
    <s v="38"/>
    <s v="ذكر"/>
    <x v="15"/>
    <s v="565600490"/>
    <s v="DAMA"/>
    <s v="Jul  8 2025 12:00AM"/>
    <s v="مغلق"/>
    <s v="N/A"/>
    <s v="N/A"/>
    <s v="N/A"/>
    <s v="N/A"/>
    <s v="N/A"/>
    <s v="02-050-0433345"/>
    <s v="Jul  7 2025  1:57PM"/>
  </r>
  <r>
    <s v="أخرى"/>
    <s v="AC5984594"/>
    <s v="siraj   siraj"/>
    <s v="INV025297494"/>
    <x v="79"/>
    <x v="1"/>
    <s v="عالي"/>
    <s v="مجموعة عمل الأمراض المعدية الآخرى"/>
    <s v="*الملاريا"/>
    <s v="حالة"/>
    <x v="0"/>
    <s v="حالة منتهية لا تتطلب اجراء اضافي"/>
    <x v="0"/>
    <s v="المديرية العامة للشؤون الصحية في المدينة المنورة"/>
    <s v="المدينة المنورة"/>
    <s v="مركز صحي الحرة الغربية"/>
    <s v="المديرية العامة للشؤون الصحية في المدينة المنورة"/>
    <s v="1998-09-10"/>
    <s v="26"/>
    <s v="ذكر"/>
    <x v="0"/>
    <s v="596233972"/>
    <s v="N/A"/>
    <s v="N/A"/>
    <s v="مغلق"/>
    <s v="N/A"/>
    <s v="N/A"/>
    <s v="N/A"/>
    <s v="N/A"/>
    <s v="N/A"/>
    <s v="02-050-0435799"/>
    <s v="Jul 13 2025  8:04AM"/>
  </r>
  <r>
    <s v="مقيم"/>
    <s v="2579896453"/>
    <s v="عوانة محمد احمد عوانة شاجره"/>
    <s v="INV025297506"/>
    <x v="79"/>
    <x v="1"/>
    <s v="عالي"/>
    <s v="مجموعة عمل الأمراض المعدية الآخرى"/>
    <s v="*الملاريا"/>
    <s v="حالة"/>
    <x v="0"/>
    <s v="حالة منتهية لا تتطلب اجراء اضافي"/>
    <x v="0"/>
    <s v="المديرية العامة للشؤون الصحية في المدينة المنورة"/>
    <s v="المدينة المنورة"/>
    <s v="مستشفى الميقات العام"/>
    <s v="المديرية العامة للشؤون الصحية في المدينة المنورة"/>
    <s v="1999-01-01"/>
    <s v="26"/>
    <s v="ذكر"/>
    <x v="7"/>
    <s v="535198793"/>
    <s v="N/A"/>
    <s v="N/A"/>
    <s v="مغلق"/>
    <s v="N/A"/>
    <s v="N/A"/>
    <s v="N/A"/>
    <s v="N/A"/>
    <s v="N/A"/>
    <s v="02-050-0435814"/>
    <s v="Jul 13 2025  8:19AM"/>
  </r>
  <r>
    <s v="أخرى"/>
    <s v="6144349704"/>
    <s v="MIWA   Jana"/>
    <s v="INV025298331"/>
    <x v="79"/>
    <x v="1"/>
    <s v="عالي جدًا - معتمر من الخارج"/>
    <s v="مجموعة عمل الأمراض المعدية الآخرى"/>
    <s v="*الملاريا"/>
    <s v="حالة"/>
    <x v="0"/>
    <s v="حالة منتهية لا تتطلب اجراء اضافي"/>
    <x v="1"/>
    <s v="المديرية العامة للشؤون الصحية في المدينة المنورة"/>
    <s v="المدينة المنورة"/>
    <s v="مستشفى السلام"/>
    <s v="المديرية العامة للشؤون الصحية في المدينة المنورة"/>
    <s v="1955-01-01"/>
    <s v="70"/>
    <s v="انثى"/>
    <x v="0"/>
    <s v="508341842"/>
    <s v="Recovered"/>
    <s v="Jul 14 2025 12:00AM"/>
    <s v="مغلق"/>
    <s v="N/A"/>
    <s v="N/A"/>
    <s v="N/A"/>
    <s v="N/A"/>
    <s v="N/A"/>
    <s v="02-050-0436617"/>
    <s v="Jul 13 2025  6:50PM"/>
  </r>
  <r>
    <s v="أخرى"/>
    <s v="SG1854401"/>
    <s v="Said Azeem Khuwary Khan"/>
    <s v="INV025298517"/>
    <x v="80"/>
    <x v="1"/>
    <s v="عالي جدًا - معتمر من الخارج"/>
    <s v="مجموعة عمل الأمراض المعدية الآخرى"/>
    <s v="*الملاريا"/>
    <s v="حالة"/>
    <x v="0"/>
    <s v="حالة منتهية لا تتطلب اجراء اضافي"/>
    <x v="23"/>
    <s v="المديرية العامة للشؤون الصحية في المدينة المنورة"/>
    <s v="المدينة المنورة"/>
    <s v="مستشفى الحرم الميداني"/>
    <s v="المديرية العامة للشؤون الصحية في المدينة المنورة"/>
    <s v="1945-03-14"/>
    <s v="80"/>
    <s v="ذكر"/>
    <x v="0"/>
    <s v="595473871"/>
    <s v="DAMA"/>
    <s v="Jul 14 2025 12:00AM"/>
    <s v="مغلق"/>
    <s v="N/A"/>
    <s v="N/A"/>
    <s v="N/A"/>
    <s v="N/A"/>
    <s v="N/A"/>
    <s v="02-050-0436810"/>
    <s v="Jul 14 2025  9:29AM"/>
  </r>
  <r>
    <s v="أخرى"/>
    <s v="6144287975"/>
    <s v="سارفراز   علي"/>
    <s v="INV025298962"/>
    <x v="80"/>
    <x v="1"/>
    <s v="عالي جدًا - معتمر من الخارج"/>
    <s v="مجموعة عمل الأمراض المعدية الآخرى"/>
    <s v="*الملاريا"/>
    <s v="حالة"/>
    <x v="0"/>
    <s v="حالة منتهية لا تتطلب اجراء اضافي"/>
    <x v="23"/>
    <s v="المديرية العامة للشؤون الصحية في المدينة المنورة"/>
    <s v="المدينة المنورة"/>
    <s v="مستشفى الحرم الميداني"/>
    <s v="المديرية العامة للشؤون الصحية في المدينة المنورة"/>
    <s v="2008-03-08"/>
    <s v="17"/>
    <s v="ذكر"/>
    <x v="0"/>
    <s v="567788773"/>
    <s v="DAMA"/>
    <s v="Jul 15 2025 12:00AM"/>
    <s v="مغلق"/>
    <s v="N/A"/>
    <s v="N/A"/>
    <s v="N/A"/>
    <s v="N/A"/>
    <s v="N/A"/>
    <s v="02-050-0437316"/>
    <s v="Jul 14 2025  3:09PM"/>
  </r>
  <r>
    <s v="أخرى"/>
    <s v="EP9024793"/>
    <s v="MOHAMMED   SAYED"/>
    <s v="INV025299538"/>
    <x v="81"/>
    <x v="1"/>
    <s v="متوسط"/>
    <s v="مجموعة عمل الأمراض المعدية الآخرى"/>
    <s v="*الملاريا"/>
    <s v="حالة"/>
    <x v="0"/>
    <s v="حالة منتهية لا تتطلب اجراء اضافي"/>
    <x v="5"/>
    <s v="المديرية العامة للشؤون الصحية في المدينة المنورة"/>
    <s v="المدينة المنورة"/>
    <s v="مركز صحي الحناكية للرعاية الصحية الأولية"/>
    <s v="المديرية العامة للشؤون الصحية في المدينة المنورة"/>
    <s v="2000-03-26"/>
    <s v="25"/>
    <s v="ذكر"/>
    <x v="1"/>
    <s v="559377362"/>
    <s v="N/A"/>
    <s v="N/A"/>
    <s v="مفتوح"/>
    <s v="N/A"/>
    <s v="N/A"/>
    <s v="N/A"/>
    <s v="N/A"/>
    <s v="N/A"/>
    <s v="02-050-0437919"/>
    <s v="Jul 15 2025  2:45PM"/>
  </r>
  <r>
    <s v="مقيم"/>
    <s v="2595541422"/>
    <s v="شفيق احمد امير كمال"/>
    <s v="INV025299889"/>
    <x v="82"/>
    <x v="1"/>
    <s v="N/A"/>
    <s v="مجموعة عمل الأمراض المعدية الآخرى"/>
    <s v="*الملاريا"/>
    <s v="حالة"/>
    <x v="0"/>
    <s v="معلَق"/>
    <x v="11"/>
    <s v="المديرية العامة للشؤون الصحية في المدينة المنورة"/>
    <s v="المدينة المنورة"/>
    <s v="مركز صحي العصيلي"/>
    <s v="المديرية العامة للشؤون الصحية في المدينة المنورة"/>
    <s v="2000-03-15"/>
    <s v="25"/>
    <s v="ذكر"/>
    <x v="0"/>
    <s v="561804678"/>
    <s v="N/A"/>
    <s v="N/A"/>
    <s v="مفتوح"/>
    <s v="N/A"/>
    <s v="N/A"/>
    <s v="N/A"/>
    <s v="N/A"/>
    <s v="N/A"/>
    <s v="02-050-0438151"/>
    <s v="Jul 16 2025  8:34AM"/>
  </r>
  <r>
    <s v="أخرى"/>
    <s v="6144335562"/>
    <s v="GHULAM   HYDER"/>
    <s v="INV025301287"/>
    <x v="83"/>
    <x v="1"/>
    <s v="عالي جدًا - معتمر من الخارج"/>
    <s v="مجموعة عمل الأمراض المعدية الآخرى"/>
    <s v="*الملاريا"/>
    <s v="حالة"/>
    <x v="0"/>
    <s v=" إحالة خارجية تم رفضها"/>
    <x v="10"/>
    <s v="المديرية العامة للشؤون الصحية في المدينة المنورة"/>
    <s v="المدينة المنورة"/>
    <s v="مركز صحي باب المجيدي الدائم"/>
    <s v="المديرية العامة للشؤون الصحية في المدينة المنورة"/>
    <s v="1994-09-09"/>
    <s v="30"/>
    <s v="ذكر"/>
    <x v="0"/>
    <s v="557614952"/>
    <s v="N/A"/>
    <s v="N/A"/>
    <s v="مفتوح"/>
    <s v="N/A"/>
    <s v="Recipient - Blood Transfusion"/>
    <s v="Jul 20 2025 12:00AM"/>
    <s v=" intermittent Fever"/>
    <s v="Jul 15 2025 12:00AM"/>
    <s v="02-050-0439438,02-050-0439439"/>
    <s v="Jul 18 2025  9:01PM,Jul 18 2025  9:13PM"/>
  </r>
  <r>
    <s v="مقيم"/>
    <s v="2542862954"/>
    <s v="نصير   نجيم"/>
    <s v="INV025302054"/>
    <x v="84"/>
    <x v="0"/>
    <s v="عالي"/>
    <s v="مجموعة عمل الأمراض المعدية الآخرى"/>
    <s v="*الملاريا"/>
    <s v="حالة"/>
    <x v="0"/>
    <s v="حالة منتهية لا تتطلب اجراء اضافي"/>
    <x v="0"/>
    <s v="المديرية العامة للشؤون الصحية في المدينة المنورة"/>
    <s v="المدينة المنورة"/>
    <s v="المركز الطبي الجامعي بالجامعة الاسلامية"/>
    <s v="المديرية العامة للشؤون الصحية في المدينة المنورة"/>
    <s v="2000-06-18"/>
    <s v="25"/>
    <s v="ذكر"/>
    <x v="18"/>
    <s v="530744942"/>
    <s v="N/A"/>
    <s v="N/A"/>
    <s v="مغلق"/>
    <s v="N/A"/>
    <s v="N/A"/>
    <s v="N/A"/>
    <s v="N/A"/>
    <s v="N/A"/>
    <s v="02-050-0440093"/>
    <s v="Jul 20 2025 11:52AM"/>
  </r>
  <r>
    <s v="أخرى"/>
    <s v="6144396595"/>
    <s v="Zara   Jidda"/>
    <s v="INV025302200"/>
    <x v="84"/>
    <x v="2"/>
    <s v="عالي جدًا - معتمر من الخارج"/>
    <s v="مجموعة عمل الأمراض المعدية الآخرى"/>
    <s v="*الملاريا"/>
    <s v="حالة"/>
    <x v="2"/>
    <s v="تنويم"/>
    <x v="1"/>
    <s v="المديرية العامة للشؤون الصحية في المدينة المنورة"/>
    <s v="المدينة المنورة"/>
    <s v="مركز صحي باب جبريل للرعاية الصحية الأولية"/>
    <s v="المديرية العامة للشؤون الصحية في المدينة المنورة"/>
    <s v="1988-01-01"/>
    <s v="37"/>
    <s v="انثى"/>
    <x v="15"/>
    <s v="530418080"/>
    <s v="N/A"/>
    <s v="N/A"/>
    <s v="مفتوح"/>
    <s v="N/A"/>
    <s v="History of surgical intervention or blood transfer,Patient had accident before current illness,Recipient - Blood Transfusion,Recipient - Blood Transfusion,Recipient - Blood Transfusion"/>
    <s v="Jul 20 2025 12:00AM,Jul 20 2025 12:00AM,Jul 20 2025 12:00AM,Jul 20 2025 12:00AM,Jul 20 2025 12:00AM"/>
    <s v=" intermittent Fever"/>
    <s v="Jul 20 2025 12:00AM"/>
    <s v="02-050-0440212"/>
    <s v="Jul 20 2025  1:35PM"/>
  </r>
  <r>
    <s v="أخرى"/>
    <s v="RG9197162"/>
    <s v="IBRAHIM   ISSAKA"/>
    <s v="INV025302261"/>
    <x v="84"/>
    <x v="0"/>
    <s v="عالي جدًا - معتمر من الخارج"/>
    <s v="مجموعة عمل الأمراض المعدية الآخرى"/>
    <s v="*الملاريا"/>
    <s v="حالة"/>
    <x v="0"/>
    <s v="حالة منتهية لا تتطلب اجراء اضافي"/>
    <x v="25"/>
    <s v="المديرية العامة للشؤون الصحية في المدينة المنورة"/>
    <s v="المدينة المنورة"/>
    <s v="مستشفى الحياة الوطنى بالمدينة"/>
    <s v="المديرية العامة للشؤون الصحية في المدينة المنورة"/>
    <s v="2002-01-01"/>
    <s v="23"/>
    <s v="ذكر"/>
    <x v="9"/>
    <s v="558488097"/>
    <s v="N/A"/>
    <s v="N/A"/>
    <s v="مغلق"/>
    <s v="N/A"/>
    <s v="N/A"/>
    <s v="N/A"/>
    <s v="N/A"/>
    <s v="N/A"/>
    <s v="02-050-0440341"/>
    <s v="Jul 20 2025  3:07PM"/>
  </r>
  <r>
    <s v="أخرى"/>
    <s v="6144383902"/>
    <s v="Shahida   Khanum"/>
    <s v="INV025302588"/>
    <x v="85"/>
    <x v="2"/>
    <s v="عالي جدًا - معتمر من الخارج"/>
    <s v="مجموعة عمل الأمراض المعدية الآخرى"/>
    <s v="*الملاريا"/>
    <s v="حالة"/>
    <x v="1"/>
    <s v="حالة منتهية لا تتطلب اجراء اضافي"/>
    <x v="1"/>
    <s v="المديرية العامة للشؤون الصحية في المدينة المنورة"/>
    <s v="المدينة المنورة"/>
    <s v="مركز صحي باب جبريل للرعاية الصحية الأولية"/>
    <s v="المديرية العامة للشؤون الصحية في المدينة المنورة"/>
    <s v="1953-01-01"/>
    <s v="72"/>
    <s v="انثى"/>
    <x v="12"/>
    <s v="593988838"/>
    <s v="N/A"/>
    <s v="N/A"/>
    <s v="مغلق"/>
    <s v="N/A"/>
    <s v="N/A"/>
    <s v="N/A"/>
    <s v="N/A"/>
    <s v="N/A"/>
    <s v="02-050-0440625,02-050-0440642"/>
    <s v="Jul 21 2025  9:36AM,Jul 21 2025  9:49AM"/>
  </r>
  <r>
    <s v="مقيم"/>
    <s v="2595972254"/>
    <s v="مجمد   حسين"/>
    <s v="INV025303531"/>
    <x v="86"/>
    <x v="1"/>
    <s v="عالي"/>
    <s v="مجموعة عمل الأمراض المعدية الآخرى"/>
    <s v="*الملاريا"/>
    <s v="حالة"/>
    <x v="0"/>
    <s v="حالة منتهية لا تتطلب اجراء اضافي"/>
    <x v="0"/>
    <s v="المديرية العامة للشؤون الصحية في المدينة المنورة"/>
    <s v="المدينة المنورة"/>
    <s v="مركز  صحي سيد الشهداء"/>
    <s v="المديرية العامة للشؤون الصحية في المدينة المنورة"/>
    <s v="2003-08-07"/>
    <s v="21"/>
    <s v="ذكر"/>
    <x v="0"/>
    <s v="565226179"/>
    <s v="N/A"/>
    <s v="N/A"/>
    <s v="مغلق"/>
    <s v="N/A"/>
    <s v="N/A"/>
    <s v="N/A"/>
    <s v="N/A"/>
    <s v="N/A"/>
    <s v="02-050-0441515"/>
    <s v="Jul 22 2025 11:42AM"/>
  </r>
  <r>
    <s v="مقيم"/>
    <s v="2609485533"/>
    <s v="نصيره نيجيف  اباجيهاد"/>
    <s v="INV025303625"/>
    <x v="86"/>
    <x v="1"/>
    <s v="عالي"/>
    <s v="مجموعة عمل الأمراض المعدية الآخرى"/>
    <s v="*الملاريا"/>
    <s v="حالة"/>
    <x v="0"/>
    <s v="حالة منتهية لا تتطلب اجراء اضافي"/>
    <x v="0"/>
    <s v="المديرية العامة للشؤون الصحية في المدينة المنورة"/>
    <s v="المدينة المنورة"/>
    <s v="مركز صحي العزيزية"/>
    <s v="المديرية العامة للشؤون الصحية في المدينة المنورة"/>
    <s v="1997-10-17"/>
    <s v="27"/>
    <s v="انثى"/>
    <x v="1"/>
    <s v="544500928"/>
    <s v="N/A"/>
    <s v="N/A"/>
    <s v="مغلق"/>
    <s v="N/A"/>
    <s v="N/A"/>
    <s v="N/A"/>
    <s v="N/A"/>
    <s v="N/A"/>
    <s v="02-050-0441612"/>
    <s v="Jul 22 2025  1:25PM"/>
  </r>
  <r>
    <s v="مواطن"/>
    <s v="1065816397"/>
    <s v="هديه مفضي فضي الرشيدي"/>
    <s v="INV025303641"/>
    <x v="86"/>
    <x v="1"/>
    <s v="متوسط"/>
    <s v="مجموعة عمل الأمراض المعدية الآخرى"/>
    <s v="*الملاريا"/>
    <s v="حالة"/>
    <x v="0"/>
    <s v="حالة منتهية لا تتطلب اجراء اضافي"/>
    <x v="5"/>
    <s v="المديرية العامة للشؤون الصحية في المدينة المنورة"/>
    <s v="المدينة المنورة"/>
    <s v="مركز صحي خيبر"/>
    <s v="المديرية العامة للشؤون الصحية في المدينة المنورة"/>
    <s v="1973-07-30"/>
    <s v="52"/>
    <s v="انثى"/>
    <x v="4"/>
    <s v="538162709"/>
    <s v="N/A"/>
    <s v="N/A"/>
    <s v="مغلق"/>
    <s v="N/A"/>
    <s v="N/A"/>
    <s v="N/A"/>
    <s v="N/A"/>
    <s v="N/A"/>
    <s v="02-050-0441618"/>
    <s v="Jul 22 2025  1:33PM"/>
  </r>
  <r>
    <s v="أخرى"/>
    <s v="MN1170232"/>
    <s v="MOHAMMED SHAFEK SHAFEK AHMED"/>
    <s v="INV025303688"/>
    <x v="86"/>
    <x v="1"/>
    <s v="عالي جدًا - معتمر من الخارج"/>
    <s v="مجموعة عمل الأمراض المعدية الآخرى"/>
    <s v="*الملاريا"/>
    <s v="حالة"/>
    <x v="0"/>
    <s v="حالة منتهية لا تتطلب اجراء اضافي"/>
    <x v="5"/>
    <s v="المديرية العامة للشؤون الصحية في المدينة المنورة"/>
    <s v="المدينة المنورة"/>
    <s v="وحدة الأمراض المعدية"/>
    <s v="المديرية العامة للشؤون الصحية في المدينة المنورة"/>
    <s v="1963-09-01"/>
    <s v="61"/>
    <s v="ذكر"/>
    <x v="0"/>
    <s v="532209128"/>
    <s v="N/A"/>
    <s v="N/A"/>
    <s v="مغلق"/>
    <s v="N/A"/>
    <s v="N/A"/>
    <s v="N/A"/>
    <s v="N/A"/>
    <s v="N/A"/>
    <s v="02-050-0441665"/>
    <s v="Jul 22 2025  2:24PM"/>
  </r>
  <r>
    <s v="أخرى"/>
    <s v="B50335063"/>
    <s v="SALWA ADEBANKE  TAIRAT"/>
    <s v="INV025304940"/>
    <x v="87"/>
    <x v="0"/>
    <s v="عالي"/>
    <s v="مجموعة عمل الأمراض المعدية الآخرى"/>
    <s v="*الملاريا"/>
    <s v="حالة"/>
    <x v="0"/>
    <s v="معلَق"/>
    <x v="26"/>
    <s v="المديرية العامة للشؤون الصحية في المدينة المنورة"/>
    <s v="المدينة المنورة"/>
    <s v="مركز صحي الصافية"/>
    <s v="المديرية العامة للشؤون الصحية في المدينة المنورة"/>
    <s v="1970-02-17"/>
    <s v="55"/>
    <s v="انثى"/>
    <x v="15"/>
    <s v="576051159"/>
    <s v="N/A"/>
    <s v="N/A"/>
    <s v="مفتوح"/>
    <s v="N/A"/>
    <s v="N/A"/>
    <s v="N/A"/>
    <s v="N/A"/>
    <s v="N/A"/>
    <s v="02-050-0442745,02-050-0442750"/>
    <s v="Jul 24 2025 12:13PM,Jul 24 2025 12:17PM"/>
  </r>
  <r>
    <s v="أخرى"/>
    <s v="6144276581"/>
    <s v="KHADIDJA NANA   TAHIR"/>
    <s v="INV025305267"/>
    <x v="88"/>
    <x v="0"/>
    <s v="عالي جدًا - معتمر من الخارج"/>
    <s v="مجموعة عمل الأمراض المعدية الآخرى"/>
    <s v="*الملاريا"/>
    <s v="حالة"/>
    <x v="0"/>
    <s v="حالة منتهية لا تتطلب اجراء اضافي"/>
    <x v="1"/>
    <s v="المديرية العامة للشؤون الصحية في المدينة المنورة"/>
    <s v="المدينة المنورة"/>
    <s v="مركز صحي باب جبريل للرعاية الصحية الأولية"/>
    <s v="المديرية العامة للشؤون الصحية في المدينة المنورة"/>
    <s v="1998-08-31"/>
    <s v="26"/>
    <s v="انثى"/>
    <x v="19"/>
    <s v="565822803"/>
    <s v="N/A"/>
    <s v="N/A"/>
    <s v="مغلق"/>
    <s v="N/A"/>
    <s v="N/A"/>
    <s v="N/A"/>
    <s v="N/A"/>
    <s v="N/A"/>
    <s v="02-050-0442990"/>
    <s v="Jul 25 2025  7:47AM"/>
  </r>
  <r>
    <s v="مواطن"/>
    <s v="1070307846"/>
    <s v="نواف منصور صالح الميهوبي"/>
    <s v="INV025306169"/>
    <x v="89"/>
    <x v="0"/>
    <s v="عالي"/>
    <s v="مجموعة عمل الأمراض المعدية الآخرى"/>
    <s v="*الملاريا"/>
    <s v="بلاغ أولي"/>
    <x v="2"/>
    <s v="تحت الإجراء"/>
    <x v="15"/>
    <s v="المديرية العامة للشؤون الصحية في المدينة المنورة"/>
    <s v="المدينة المنورة"/>
    <s v="مستشفى الامير عبدالمحسن بالعلا"/>
    <s v="المديرية العامة للشؤون الصحية في المدينة المنورة"/>
    <s v="1988-11-06"/>
    <s v="36"/>
    <s v="ذكر"/>
    <x v="4"/>
    <s v="552532093"/>
    <s v="N/A"/>
    <s v="N/A"/>
    <s v="مفتوح"/>
    <s v="N/A"/>
    <s v="N/A"/>
    <s v="N/A"/>
    <s v="N/A"/>
    <s v="N/A"/>
    <s v="02-050-0443709"/>
    <s v="Jul 27 2025 12:54PM"/>
  </r>
  <r>
    <s v="أخرى"/>
    <s v="s3608162"/>
    <s v="محمد محي الدين  محمد"/>
    <s v="INV025306288"/>
    <x v="89"/>
    <x v="1"/>
    <s v="متوسط"/>
    <s v="مجموعة عمل الأمراض المعدية الآخرى"/>
    <s v="*الملاريا"/>
    <s v="حالة"/>
    <x v="2"/>
    <s v="حالة منتهية لا تتطلب اجراء اضافي"/>
    <x v="5"/>
    <s v="المديرية العامة للشؤون الصحية في المدينة المنورة"/>
    <s v="المدينة المنورة"/>
    <s v="وحدة الأمراض المعدية"/>
    <s v="المديرية العامة للشؤون الصحية في المدينة المنورة"/>
    <s v="2000-11-05"/>
    <s v="24"/>
    <s v="ذكر"/>
    <x v="12"/>
    <s v="594308330"/>
    <s v="N/A"/>
    <s v="N/A"/>
    <s v="مفتوح"/>
    <s v="N/A"/>
    <s v="N/A"/>
    <s v="N/A"/>
    <s v="N/A"/>
    <s v="N/A"/>
    <s v="02-050-0443795"/>
    <s v="Jul 27 2025  3:20PM"/>
  </r>
  <r>
    <s v="مقيم"/>
    <s v="2499269260"/>
    <s v="محمد احمد شبير احمد"/>
    <s v="INV025306629"/>
    <x v="90"/>
    <x v="1"/>
    <s v="عالي"/>
    <s v="مجموعة عمل الأمراض المعدية الآخرى"/>
    <s v="*الملاريا"/>
    <s v="حالة"/>
    <x v="2"/>
    <s v="تنويم"/>
    <x v="0"/>
    <s v="المديرية العامة للشؤون الصحية في المدينة المنورة"/>
    <s v="المدينة المنورة"/>
    <s v="مركز صحي الدويمة للرعاية الصحية الأولية"/>
    <s v="المديرية العامة للشؤون الصحية في المدينة المنورة"/>
    <s v="1991-01-11"/>
    <s v="34"/>
    <s v="ذكر"/>
    <x v="0"/>
    <s v="566645976"/>
    <s v="N/A"/>
    <s v="N/A"/>
    <s v="مفتوح"/>
    <s v="N/A"/>
    <s v="N/A"/>
    <s v="N/A"/>
    <s v="N/A"/>
    <s v="N/A"/>
    <s v="02-050-0444117"/>
    <s v="Jul 28 2025  9:02AM"/>
  </r>
  <r>
    <s v="أخرى"/>
    <s v="EP8222198"/>
    <s v="MOHAMMED   ABDALLA"/>
    <s v="INV025306665"/>
    <x v="90"/>
    <x v="1"/>
    <s v="عالي"/>
    <s v="مجموعة عمل الأمراض المعدية الآخرى"/>
    <s v="*الملاريا"/>
    <s v="حالة"/>
    <x v="0"/>
    <s v="تنويم"/>
    <x v="0"/>
    <s v="المديرية العامة للشؤون الصحية في المدينة المنورة"/>
    <s v="المدينة المنورة"/>
    <s v="مركز القصواء للرعاية الصحية الأولية"/>
    <s v="المديرية العامة للشؤون الصحية في المدينة المنورة"/>
    <s v="1999-01-24"/>
    <s v="26"/>
    <s v="ذكر"/>
    <x v="1"/>
    <s v="541319819"/>
    <s v="N/A"/>
    <s v="N/A"/>
    <s v="مفتوح"/>
    <s v="N/A"/>
    <s v="N/A"/>
    <s v="N/A"/>
    <s v="N/A"/>
    <s v="N/A"/>
    <s v="02-050-0444130"/>
    <s v="Jul 28 2025  9:09AM"/>
  </r>
  <r>
    <s v="أخرى"/>
    <s v="QZ1832361"/>
    <s v="AYAZ ALI   ASLAM"/>
    <s v="INV025308645"/>
    <x v="91"/>
    <x v="1"/>
    <s v="عالي"/>
    <s v="مجموعة عمل الأمراض المعدية الآخرى"/>
    <s v="*الملاريا"/>
    <s v="حالة"/>
    <x v="0"/>
    <s v="تنويم"/>
    <x v="0"/>
    <s v="المديرية العامة للشؤون الصحية في المدينة المنورة"/>
    <s v="المدينة المنورة"/>
    <s v="مركز  صحي سيد الشهداء"/>
    <s v="المديرية العامة للشؤون الصحية في المدينة المنورة"/>
    <s v="2002-04-21"/>
    <s v="23"/>
    <s v="ذكر"/>
    <x v="0"/>
    <s v="551708496"/>
    <s v="N/A"/>
    <s v="N/A"/>
    <s v="مفتوح"/>
    <s v="N/A"/>
    <s v="N/A"/>
    <s v="N/A"/>
    <s v="N/A"/>
    <s v="N/A"/>
    <s v="02-050-0445939"/>
    <s v="Jul 30 2025 12:21PM"/>
  </r>
  <r>
    <s v="مقيم"/>
    <s v="2303527838"/>
    <s v="يونس   عبدالله"/>
    <s v="INV025310374"/>
    <x v="92"/>
    <x v="0"/>
    <s v="N/A"/>
    <s v="مجموعة عمل الأمراض المعدية الآخرى"/>
    <s v="*الملاريا"/>
    <s v="حالة"/>
    <x v="2"/>
    <s v="معلَق"/>
    <x v="0"/>
    <s v="المديرية العامة للشؤون الصحية في المدينة المنورة"/>
    <s v="المدينة المنورة"/>
    <s v="المركز الطبي الجامعي بالجامعة الاسلامية"/>
    <s v="المديرية العامة للشؤون الصحية في المدينة المنورة"/>
    <s v="2006-09-12"/>
    <s v="18"/>
    <s v="ذكر"/>
    <x v="15"/>
    <s v="542991892"/>
    <s v="N/A"/>
    <s v="N/A"/>
    <s v="مفتوح"/>
    <s v="N/A"/>
    <s v="N/A"/>
    <s v="N/A"/>
    <s v="N/A"/>
    <s v="N/A"/>
    <s v="02-050-0447391"/>
    <s v="Aug  3 2025 10:24AM"/>
  </r>
  <r>
    <s v="مقيم"/>
    <s v="2470043379"/>
    <s v="عبدالمنعم الامين اسماعيل محمد"/>
    <s v="INV025310902"/>
    <x v="92"/>
    <x v="1"/>
    <s v="منخفض"/>
    <s v="مجموعة عمل الأمراض المعدية الآخرى"/>
    <s v="*الملاريا"/>
    <s v="حالة"/>
    <x v="0"/>
    <s v="تحت الإجراء"/>
    <x v="17"/>
    <s v="المديرية العامة للشؤون الصحية في المدينة المنورة"/>
    <s v="المدينة المنورة"/>
    <s v="مستشفى الحناكية العام"/>
    <s v="المديرية العامة للشؤون الصحية في المدينة المنورة"/>
    <s v="1992-01-01"/>
    <s v="33"/>
    <s v="ذكر"/>
    <x v="2"/>
    <s v="599210761"/>
    <s v="N/A"/>
    <s v="N/A"/>
    <s v="مفتوح"/>
    <s v="N/A"/>
    <s v="N/A"/>
    <s v="N/A"/>
    <s v="N/A"/>
    <s v="N/A"/>
    <s v="02-050-0448164"/>
    <s v="Aug  4 2025 11:17AM"/>
  </r>
  <r>
    <s v="أخرى"/>
    <s v="P07805060"/>
    <s v="AMNA AL TAHER  MOHAMED"/>
    <s v="INV025311403"/>
    <x v="93"/>
    <x v="2"/>
    <s v="N/A"/>
    <s v="مجموعة عمل الأمراض المعدية الآخرى"/>
    <s v="*الملاريا"/>
    <s v="حالة"/>
    <x v="1"/>
    <s v="حالة منتهية لا تتطلب اجراء اضافي"/>
    <x v="5"/>
    <s v="المديرية العامة للشؤون الصحية في المدينة المنورة"/>
    <s v="المدينة المنورة"/>
    <s v="مركز العاقول للرعاية الصحية الاولية"/>
    <s v="المديرية العامة للشؤون الصحية في المدينة المنورة"/>
    <s v="1961-01-01"/>
    <s v="64"/>
    <s v="انثى"/>
    <x v="2"/>
    <s v="530279880"/>
    <s v="N/A"/>
    <s v="N/A"/>
    <s v="مغلق"/>
    <s v="N/A"/>
    <s v="N/A"/>
    <s v="N/A"/>
    <s v="N/A"/>
    <s v="N/A"/>
    <s v="02-050-0448290"/>
    <s v="Aug  4 2025  1:13PM"/>
  </r>
  <r>
    <s v="أخرى"/>
    <s v="p10341732"/>
    <s v="ابو بكر ابو عاقله  عبدالسلام"/>
    <s v="INV025312142"/>
    <x v="94"/>
    <x v="1"/>
    <s v="متوسط"/>
    <s v="مجموعة عمل الأمراض المعدية الآخرى"/>
    <s v="*الملاريا"/>
    <s v="حالة"/>
    <x v="0"/>
    <s v="حالة منتهية لا تتطلب اجراء اضافي"/>
    <x v="8"/>
    <s v="المديرية العامة للشؤون الصحية في المدينة المنورة"/>
    <s v="المدينة المنورة"/>
    <s v="مركز صحى الغزلانى"/>
    <s v="المديرية العامة للشؤون الصحية في المدينة المنورة"/>
    <s v="2002-01-01"/>
    <s v="23"/>
    <s v="ذكر"/>
    <x v="2"/>
    <s v="535297691"/>
    <s v="N/A"/>
    <s v="N/A"/>
    <s v="مغلق"/>
    <s v="N/A"/>
    <s v="N/A"/>
    <s v="N/A"/>
    <s v="N/A"/>
    <s v="N/A"/>
    <s v="02-050-0448998"/>
    <s v="Aug  5 2025  1:42PM"/>
  </r>
  <r>
    <s v="أخرى"/>
    <s v="b04528124"/>
    <s v="ابراهيم   سالي"/>
    <s v="INV025313759"/>
    <x v="95"/>
    <x v="2"/>
    <s v="عالي جدًا - معتمر من الخارج"/>
    <s v="مجموعة عمل الأمراض المعدية الآخرى"/>
    <s v="*الملاريا"/>
    <s v="حالة"/>
    <x v="2"/>
    <s v="تحت الإجراء"/>
    <x v="23"/>
    <s v="المديرية العامة للشؤون الصحية في المدينة المنورة"/>
    <s v="المدينة المنورة"/>
    <s v="مستشفى الملك فهد بالمدينة المنورة"/>
    <s v="المديرية العامة للشؤون الصحية في المدينة المنورة"/>
    <s v="1976-01-01"/>
    <s v="49"/>
    <s v="ذكر"/>
    <x v="15"/>
    <s v="546489548"/>
    <s v="N/A"/>
    <s v="N/A"/>
    <s v="مفتوح"/>
    <s v="N/A"/>
    <s v="N/A"/>
    <s v="N/A"/>
    <s v="N/A"/>
    <s v="N/A"/>
    <s v="02-050-0450462"/>
    <s v="Aug  8 2025  9:11AM"/>
  </r>
  <r>
    <s v="أخرى"/>
    <s v="EQ2515615"/>
    <s v="ALEM   YIMER"/>
    <s v="INV025314057"/>
    <x v="96"/>
    <x v="2"/>
    <s v="عالي"/>
    <s v="مجموعة عمل الأمراض المعدية الآخرى"/>
    <s v="*الملاريا"/>
    <s v="حالة"/>
    <x v="1"/>
    <s v="حالة منتهية لا تتطلب اجراء اضافي"/>
    <x v="0"/>
    <s v="المديرية العامة للشؤون الصحية في المدينة المنورة"/>
    <s v="المدينة المنورة"/>
    <s v="مستشفى الميقات العام"/>
    <s v="المديرية العامة للشؤون الصحية في المدينة المنورة"/>
    <s v="2002-01-01"/>
    <s v="23"/>
    <s v="انثى"/>
    <x v="1"/>
    <s v="591689764"/>
    <s v="N/A"/>
    <s v="N/A"/>
    <s v="مغلق"/>
    <s v="N/A"/>
    <s v="N/A"/>
    <s v="N/A"/>
    <s v="N/A"/>
    <s v="N/A"/>
    <s v="02-050-0450850"/>
    <s v="Aug 10 2025  9:30AM"/>
  </r>
  <r>
    <s v="مقيم"/>
    <s v="2492634478"/>
    <s v="نو رحمن برا خان"/>
    <s v="INV025314101"/>
    <x v="96"/>
    <x v="2"/>
    <s v="منخفض"/>
    <s v="مجموعة عمل الأمراض المعدية الآخرى"/>
    <s v="*الملاريا"/>
    <s v="بلاغ أولي"/>
    <x v="2"/>
    <s v="معلَق"/>
    <x v="3"/>
    <s v="المديرية العامة للشؤون الصحية في المدينة المنورة"/>
    <s v="المدينة المنورة"/>
    <s v="مستشفى خيبر العام"/>
    <s v="المديرية العامة للشؤون الصحية في المدينة المنورة"/>
    <s v="1982-01-01"/>
    <s v="43"/>
    <s v="ذكر"/>
    <x v="0"/>
    <s v="507437278"/>
    <s v="N/A"/>
    <s v="N/A"/>
    <s v="مفتوح"/>
    <s v="N/A"/>
    <s v="N/A"/>
    <s v="N/A"/>
    <s v="N/A"/>
    <s v="N/A"/>
    <s v="02-050-0450749"/>
    <s v="Aug 10 2025  8:20AM"/>
  </r>
  <r>
    <s v="مقيم"/>
    <s v="2540965213"/>
    <s v="امجد   محمد"/>
    <s v="INV025314235"/>
    <x v="96"/>
    <x v="0"/>
    <s v="متوسط"/>
    <s v="مجموعة عمل الأمراض المعدية الآخرى"/>
    <s v="*الملاريا"/>
    <s v="حالة"/>
    <x v="0"/>
    <s v="حالة منتهية لا تتطلب اجراء اضافي"/>
    <x v="0"/>
    <s v="المديرية العامة للشؤون الصحية في المدينة المنورة"/>
    <s v="المدينة المنورة"/>
    <s v="مركز صحي الفيصلية للرعاية الصحية الأولية"/>
    <s v="المديرية العامة للشؤون الصحية في المدينة المنورة"/>
    <s v="1998-09-04"/>
    <s v="26"/>
    <s v="ذكر"/>
    <x v="18"/>
    <s v="535458561"/>
    <s v="N/A"/>
    <s v="N/A"/>
    <s v="مغلق"/>
    <s v="N/A"/>
    <s v="N/A"/>
    <s v="N/A"/>
    <s v="N/A"/>
    <s v="N/A"/>
    <s v="02-050-0450839"/>
    <s v="Aug 10 2025  9:23AM"/>
  </r>
  <r>
    <s v="مقيم"/>
    <s v="2567263716"/>
    <s v="باسيرو محمد  سانوسي"/>
    <s v="INV025316986"/>
    <x v="97"/>
    <x v="0"/>
    <s v="عالي"/>
    <s v="مجموعة عمل الأمراض المعدية الآخرى"/>
    <s v="*الملاريا"/>
    <s v="حالة"/>
    <x v="0"/>
    <s v="حالة منتهية لا تتطلب اجراء اضافي"/>
    <x v="0"/>
    <s v="المديرية العامة للشؤون الصحية في المدينة المنورة"/>
    <s v="المدينة المنورة"/>
    <s v="المركز الطبي الجامعي بالجامعة الاسلامية"/>
    <s v="المديرية العامة للشؤون الصحية في المدينة المنورة"/>
    <s v="2005-01-14"/>
    <s v="20"/>
    <s v="ذكر"/>
    <x v="15"/>
    <s v="548353397"/>
    <s v="N/A"/>
    <s v="N/A"/>
    <s v="مغلق"/>
    <s v="N/A"/>
    <s v="N/A"/>
    <s v="N/A"/>
    <s v="N/A"/>
    <s v="N/A"/>
    <s v="02-050-0453440"/>
    <s v="Aug 13 2025  2:05PM"/>
  </r>
  <r>
    <s v="أخرى"/>
    <s v="6146185065"/>
    <s v="NOOR   Zaiba"/>
    <s v="INV025317086"/>
    <x v="97"/>
    <x v="0"/>
    <s v="عالي جدًا - معتمر من الخارج"/>
    <s v="مجموعة عمل الأمراض المعدية الآخرى"/>
    <s v="*الملاريا"/>
    <s v="حالة"/>
    <x v="2"/>
    <s v="تنويم"/>
    <x v="1"/>
    <s v="المديرية العامة للشؤون الصحية في المدينة المنورة"/>
    <s v="المدينة المنورة"/>
    <s v="مركز صحي باب جبريل للرعاية الصحية الأولية"/>
    <s v="المديرية العامة للشؤون الصحية في المدينة المنورة"/>
    <s v="1957-01-01"/>
    <s v="68"/>
    <s v="انثى"/>
    <x v="0"/>
    <s v="570146983"/>
    <s v="N/A"/>
    <s v="N/A"/>
    <s v="مفتوح"/>
    <s v="N/A"/>
    <s v="N/A"/>
    <s v="N/A"/>
    <s v="N/A"/>
    <s v="N/A"/>
    <s v="02-050-0453539"/>
    <s v="Aug 13 2025  3:40PM"/>
  </r>
  <r>
    <s v="أخرى"/>
    <s v="6145467517"/>
    <s v="دنيا   ارمين"/>
    <s v="INV025317251"/>
    <x v="98"/>
    <x v="1"/>
    <s v="عالي جدًا - معتمر من الخارج"/>
    <s v="مجموعة عمل الأمراض المعدية الآخرى"/>
    <s v="*الملاريا"/>
    <s v="حالة"/>
    <x v="0"/>
    <s v="حالة منتهية لا تتطلب اجراء اضافي"/>
    <x v="23"/>
    <s v="المديرية العامة للشؤون الصحية في المدينة المنورة"/>
    <s v="المدينة المنورة"/>
    <s v="مستشفى الحرم الميداني"/>
    <s v="المديرية العامة للشؤون الصحية في المدينة المنورة"/>
    <s v="2011-03-04"/>
    <s v="14"/>
    <s v="انثى"/>
    <x v="0"/>
    <s v="549220786"/>
    <s v="Recovered"/>
    <s v="Aug 18 2025 12:00AM"/>
    <s v="مغلق"/>
    <s v="N/A"/>
    <s v="N/A"/>
    <s v="N/A"/>
    <s v="N/A"/>
    <s v="N/A"/>
    <s v="02-050-0453663"/>
    <s v="Aug 14 2025  2:10AM"/>
  </r>
  <r>
    <s v="مقيم"/>
    <s v="2531382337"/>
    <s v="زين البدين عباسي محمد"/>
    <s v="INV025317695"/>
    <x v="98"/>
    <x v="1"/>
    <s v="عالي"/>
    <s v="مجموعة عمل الأمراض المعدية الآخرى"/>
    <s v="*الملاريا"/>
    <s v="حالة"/>
    <x v="0"/>
    <s v="حالة منتهية لا تتطلب اجراء اضافي"/>
    <x v="0"/>
    <s v="المديرية العامة للشؤون الصحية في المدينة المنورة"/>
    <s v="المدينة المنورة"/>
    <s v="مركز صحي باب جبريل للرعاية الصحية الأولية"/>
    <s v="المديرية العامة للشؤون الصحية في المدينة المنورة"/>
    <s v="1990-02-05"/>
    <s v="35"/>
    <s v="ذكر"/>
    <x v="0"/>
    <s v="591989304"/>
    <s v="N/A"/>
    <s v="N/A"/>
    <s v="مغلق"/>
    <s v="N/A"/>
    <s v="N/A"/>
    <s v="N/A"/>
    <s v="N/A"/>
    <s v="N/A"/>
    <s v="02-050-0454092"/>
    <s v="Aug 14 2025  1:37PM"/>
  </r>
  <r>
    <s v="أخرى"/>
    <s v="EQ2515615"/>
    <s v="ALEM   YIMER"/>
    <s v="INV025319096"/>
    <x v="99"/>
    <x v="0"/>
    <s v="عالي"/>
    <s v="مجموعة عمل الأمراض المعدية الآخرى"/>
    <s v="*الملاريا"/>
    <s v="حالة"/>
    <x v="0"/>
    <s v="معلَق"/>
    <x v="0"/>
    <s v="المديرية العامة للشؤون الصحية في المدينة المنورة"/>
    <s v="المدينة المنورة"/>
    <s v="مستشفى الميقات العام"/>
    <s v="المديرية العامة للشؤون الصحية في المدينة المنورة"/>
    <s v="2002-01-01"/>
    <s v="23"/>
    <s v="انثى"/>
    <x v="1"/>
    <s v="591689764"/>
    <s v="N/A"/>
    <s v="N/A"/>
    <s v="مغلق"/>
    <s v="N/A"/>
    <s v="N/A"/>
    <s v="N/A"/>
    <s v="N/A"/>
    <s v="N/A"/>
    <s v="02-050-0455145"/>
    <s v="Aug 17 2025  1:41PM"/>
  </r>
  <r>
    <s v="مقيم"/>
    <s v="2553882073"/>
    <s v="محمد محمد طاهر يوسف"/>
    <s v="INV025319675"/>
    <x v="100"/>
    <x v="0"/>
    <s v="عالي"/>
    <s v="مجموعة عمل الأمراض المعدية الآخرى"/>
    <s v="*الملاريا"/>
    <s v="حالة"/>
    <x v="0"/>
    <s v="حالة منتهية لا تتطلب اجراء اضافي"/>
    <x v="0"/>
    <s v="المديرية العامة للشؤون الصحية في المدينة المنورة"/>
    <s v="المدينة المنورة"/>
    <s v="مستشفى الميقات العام"/>
    <s v="المديرية العامة للشؤون الصحية في المدينة المنورة"/>
    <s v="2003-01-01"/>
    <s v="22"/>
    <s v="ذكر"/>
    <x v="9"/>
    <s v="561671210"/>
    <s v="N/A"/>
    <s v="N/A"/>
    <s v="مغلق"/>
    <s v="N/A"/>
    <s v="N/A"/>
    <s v="N/A"/>
    <s v="N/A"/>
    <s v="N/A"/>
    <s v="02-050-0455615"/>
    <s v="Aug 18 2025  9:04AM"/>
  </r>
  <r>
    <s v="أخرى"/>
    <s v="EQ2139466"/>
    <s v="MOHAMMED MOHAMMED  ALI AHMED"/>
    <s v="INV025319723"/>
    <x v="100"/>
    <x v="1"/>
    <s v="عالي"/>
    <s v="مجموعة عمل الأمراض المعدية الآخرى"/>
    <s v="*الملاريا"/>
    <s v="حالة"/>
    <x v="2"/>
    <s v="معلَق"/>
    <x v="11"/>
    <s v="المديرية العامة للشؤون الصحية في المدينة المنورة"/>
    <s v="المدينة المنورة"/>
    <s v="مركز رعاية صحية أوليه ينبع النخل"/>
    <s v="المديرية العامة للشؤون الصحية في المدينة المنورة"/>
    <s v="1987-03-30"/>
    <s v="38"/>
    <s v="ذكر"/>
    <x v="1"/>
    <s v="554034009"/>
    <s v="N/A"/>
    <s v="N/A"/>
    <s v="مفتوح"/>
    <s v="N/A"/>
    <s v="N/A"/>
    <s v="N/A"/>
    <s v="N/A"/>
    <s v="N/A"/>
    <s v="02-050-0455647"/>
    <s v="Aug 18 2025  9:30AM"/>
  </r>
  <r>
    <s v="أخرى"/>
    <s v="P09946404"/>
    <s v="RINAD ABD ALRAHMAN ABD ALIh Ahmad"/>
    <s v="INV025319752"/>
    <x v="100"/>
    <x v="1"/>
    <s v="متوسط"/>
    <s v="مجموعة عمل الأمراض المعدية الآخرى"/>
    <s v="*الملاريا"/>
    <s v="حالة"/>
    <x v="2"/>
    <s v="تنويم"/>
    <x v="12"/>
    <s v="المديرية العامة للشؤون الصحية في المدينة المنورة"/>
    <s v="المدينة المنورة"/>
    <s v="مركز الدفاع للرعاية الصحية الاولية"/>
    <s v="المديرية العامة للشؤون الصحية في المدينة المنورة"/>
    <s v="2018-05-28"/>
    <s v="7"/>
    <s v="انثى"/>
    <x v="2"/>
    <s v="552113182"/>
    <s v="N/A"/>
    <s v="N/A"/>
    <s v="مفتوح"/>
    <s v="N/A"/>
    <s v="N/A"/>
    <s v="N/A"/>
    <s v="N/A"/>
    <s v="N/A"/>
    <s v="02-050-0455688,02-050-0457316"/>
    <s v="Aug 18 2025  9:59AM,Aug 20 2025 12:34PM"/>
  </r>
  <r>
    <s v="أخرى"/>
    <s v="AD4925221"/>
    <s v="Kauro Rab  Nawaz"/>
    <s v="INV025320785"/>
    <x v="101"/>
    <x v="1"/>
    <s v="عالي جدًا - معتمر من الخارج"/>
    <s v="مجموعة عمل الأمراض المعدية الآخرى"/>
    <s v="*الملاريا"/>
    <s v="حالة"/>
    <x v="2"/>
    <s v="حالة منتهية لا تتطلب اجراء اضافي"/>
    <x v="5"/>
    <s v="المديرية العامة للشؤون الصحية في المدينة المنورة"/>
    <s v="المدينة المنورة"/>
    <s v="وحدة الأمراض المعدية"/>
    <s v="المديرية العامة للشؤون الصحية في المدينة المنورة"/>
    <s v="1956-01-01"/>
    <s v="69"/>
    <s v="ذكر"/>
    <x v="0"/>
    <s v="537804695"/>
    <s v="N/A"/>
    <s v="N/A"/>
    <s v="مفتوح"/>
    <s v="N/A"/>
    <s v="N/A"/>
    <s v="N/A"/>
    <s v="N/A"/>
    <s v="N/A"/>
    <s v="02-050-0457229"/>
    <s v="Aug 20 2025 11:11AM"/>
  </r>
  <r>
    <s v="مقيم"/>
    <s v="2529295574"/>
    <s v="MASSAHOUD   OUEDRAOGO"/>
    <s v="INV025320905"/>
    <x v="101"/>
    <x v="0"/>
    <s v="متوسط"/>
    <s v="مجموعة عمل الأمراض المعدية الآخرى"/>
    <s v="*الملاريا"/>
    <s v="بلاغ أولي"/>
    <x v="0"/>
    <s v="بلاغ أولي"/>
    <x v="27"/>
    <s v="المديرية العامة للشؤون الصحية في المدينة المنورة"/>
    <s v="المدينة المنورة"/>
    <s v="المركز الطبي الجامعي"/>
    <s v="المديرية العامة للشؤون الصحية في المدينة المنورة"/>
    <s v="1999-12-31"/>
    <s v="25"/>
    <s v="ذكر"/>
    <x v="20"/>
    <s v="582863893"/>
    <s v="N/A"/>
    <s v="N/A"/>
    <s v="مفتوح"/>
    <s v="N/A"/>
    <s v="N/A"/>
    <s v="N/A"/>
    <s v="N/A"/>
    <s v="N/A"/>
    <s v="02-050-0456983"/>
    <s v="Aug 20 2025  8:08AM"/>
  </r>
  <r>
    <s v="مقيم"/>
    <s v="2543199604"/>
    <s v="محمد وكيل محمد منور"/>
    <s v="INV025321012"/>
    <x v="101"/>
    <x v="1"/>
    <s v="متوسط"/>
    <s v="مجموعة عمل الأمراض المعدية الآخرى"/>
    <s v="*الملاريا"/>
    <s v="حالة"/>
    <x v="2"/>
    <s v="تحت الإجراء"/>
    <x v="5"/>
    <s v="المديرية العامة للشؤون الصحية في المدينة المنورة"/>
    <s v="المدينة المنورة"/>
    <s v="قسم نواقل المرض والأمراض المشتركة بتجمع المدينة"/>
    <s v="المديرية العامة للشؤون الصحية في المدينة المنورة"/>
    <s v="1996-01-01"/>
    <s v="29"/>
    <s v="ذكر"/>
    <x v="12"/>
    <s v="558945219"/>
    <s v="N/A"/>
    <s v="N/A"/>
    <s v="مفتوح"/>
    <s v="N/A"/>
    <s v="N/A"/>
    <s v="N/A"/>
    <s v="N/A"/>
    <s v="N/A"/>
    <s v="02-050-0457225"/>
    <s v="Aug 20 2025 11:09AM"/>
  </r>
  <r>
    <s v="أخرى"/>
    <s v="6146108263"/>
    <s v="محمد أنس  خان"/>
    <s v="INV025321183"/>
    <x v="101"/>
    <x v="1"/>
    <s v="عالي جدًا - معتمر من الخارج"/>
    <s v="مجموعة عمل الأمراض المعدية الآخرى"/>
    <s v="*الملاريا"/>
    <s v="حالة"/>
    <x v="0"/>
    <s v="تحت الإجراء"/>
    <x v="23"/>
    <s v="المديرية العامة للشؤون الصحية في المدينة المنورة"/>
    <s v="المدينة المنورة"/>
    <s v="مستشفى الحرم الميداني"/>
    <s v="المديرية العامة للشؤون الصحية في المدينة المنورة"/>
    <s v="1992-10-17"/>
    <s v="32"/>
    <s v="ذكر"/>
    <x v="0"/>
    <s v="573544792"/>
    <s v="N/A"/>
    <s v="N/A"/>
    <s v="مفتوح"/>
    <s v="N/A"/>
    <s v="N/A"/>
    <s v="N/A"/>
    <s v="N/A"/>
    <s v="N/A"/>
    <s v="02-050-0456918"/>
    <s v="Aug 19 2025  9:55PM"/>
  </r>
  <r>
    <s v="مقيم"/>
    <s v="2426834905"/>
    <s v="عبد العزيز  جقتي"/>
    <s v="INV025324392"/>
    <x v="102"/>
    <x v="0"/>
    <s v="عالي"/>
    <s v="مجموعة عمل الأمراض المعدية الآخرى"/>
    <s v="*الملاريا"/>
    <s v="حالة"/>
    <x v="2"/>
    <s v="تنويم"/>
    <x v="0"/>
    <s v="المديرية العامة للشؤون الصحية في المدينة المنورة"/>
    <s v="المدينة المنورة"/>
    <s v="المركز الطبي الجامعي بالجامعة الاسلامية"/>
    <s v="المديرية العامة للشؤون الصحية في المدينة المنورة"/>
    <s v="1994-06-15"/>
    <s v="31"/>
    <s v="ذكر"/>
    <x v="21"/>
    <s v="591987071"/>
    <s v="N/A"/>
    <s v="N/A"/>
    <s v="مفتوح"/>
    <s v="N/A"/>
    <s v="N/A"/>
    <s v="N/A"/>
    <s v="حمى "/>
    <s v="Aug 22 2025 12:00AM"/>
    <s v="02-050-0459507"/>
    <s v="Aug 25 2025  8:14AM"/>
  </r>
  <r>
    <s v="مقيم"/>
    <s v="2553978087"/>
    <s v="احمدو اسعيد   تنغوينو"/>
    <s v="INV025324401"/>
    <x v="102"/>
    <x v="0"/>
    <s v="عالي"/>
    <s v="مجموعة عمل الأمراض المعدية الآخرى"/>
    <s v="*الملاريا"/>
    <s v="حالة"/>
    <x v="2"/>
    <s v="معلَق"/>
    <x v="0"/>
    <s v="المديرية العامة للشؤون الصحية في المدينة المنورة"/>
    <s v="المدينة المنورة"/>
    <s v="المركز الطبي الجامعي بالجامعة الاسلامية"/>
    <s v="المديرية العامة للشؤون الصحية في المدينة المنورة"/>
    <s v="2002-12-15"/>
    <s v="22"/>
    <s v="ذكر"/>
    <x v="16"/>
    <s v="568091587"/>
    <s v="N/A"/>
    <s v="N/A"/>
    <s v="مفتوح"/>
    <s v="N/A"/>
    <s v="N/A"/>
    <s v="N/A"/>
    <s v="حمى "/>
    <s v="Aug 19 2025 12:00AM"/>
    <s v="02-050-0459516"/>
    <s v="Aug 25 2025  8:25AM"/>
  </r>
  <r>
    <s v="مقيم"/>
    <s v="2498175799"/>
    <s v="احمد طالب   باه"/>
    <s v="INV025324413"/>
    <x v="102"/>
    <x v="0"/>
    <s v="عالي"/>
    <s v="مجموعة عمل الأمراض المعدية الآخرى"/>
    <s v="*الملاريا"/>
    <s v="حالة"/>
    <x v="2"/>
    <s v="معلَق"/>
    <x v="0"/>
    <s v="المديرية العامة للشؤون الصحية في المدينة المنورة"/>
    <s v="المدينة المنورة"/>
    <s v="المركز الطبي الجامعي بالجامعة الاسلامية"/>
    <s v="المديرية العامة للشؤون الصحية في المدينة المنورة"/>
    <s v="1997-10-08"/>
    <s v="27"/>
    <s v="ذكر"/>
    <x v="21"/>
    <s v="547003719"/>
    <s v="N/A"/>
    <s v="N/A"/>
    <s v="مفتوح"/>
    <s v="N/A"/>
    <s v="N/A"/>
    <s v="N/A"/>
    <s v="N/A"/>
    <s v="N/A"/>
    <s v="02-050-0459561"/>
    <s v="Aug 25 2025  8:58AM"/>
  </r>
  <r>
    <s v="مقيم"/>
    <s v="2597013099"/>
    <s v="محمد اقبال رسول قل"/>
    <s v="INV025324422"/>
    <x v="102"/>
    <x v="1"/>
    <s v="N/A"/>
    <s v="مجموعة عمل الأمراض المعدية الآخرى"/>
    <s v="*الملاريا"/>
    <s v="حالة"/>
    <x v="2"/>
    <s v="حالة منتهية لا تتطلب اجراء اضافي"/>
    <x v="0"/>
    <s v="المديرية العامة للشؤون الصحية في المدينة المنورة"/>
    <s v="المدينة المنورة"/>
    <s v="المركز الطبي الجامعي بالجامعة الاسلامية"/>
    <s v="المديرية العامة للشؤون الصحية في المدينة المنورة"/>
    <s v="1988-03-01"/>
    <s v="37"/>
    <s v="ذكر"/>
    <x v="0"/>
    <s v="569324396"/>
    <s v="N/A"/>
    <s v="N/A"/>
    <s v="مفتوح"/>
    <s v="N/A"/>
    <s v="N/A"/>
    <s v="N/A"/>
    <s v="N/A"/>
    <s v="N/A"/>
    <s v="02-050-0459528"/>
    <s v="Aug 25 2025  8:39AM"/>
  </r>
  <r>
    <s v="مقيم"/>
    <s v="2518697756"/>
    <s v="عوض  الكريم مختار عبد القادر مختار"/>
    <s v="INV025324445"/>
    <x v="102"/>
    <x v="1"/>
    <s v="N/A"/>
    <s v="مجموعة عمل الأمراض المعدية الآخرى"/>
    <s v="*الملاريا"/>
    <s v="حالة"/>
    <x v="2"/>
    <s v="معلَق"/>
    <x v="0"/>
    <s v="المديرية العامة للشؤون الصحية في المدينة المنورة"/>
    <s v="المدينة المنورة"/>
    <s v="المركز الطبي الجامعي بالجامعة الاسلامية"/>
    <s v="المديرية العامة للشؤون الصحية في المدينة المنورة"/>
    <s v="1985-08-02"/>
    <s v="40"/>
    <s v="ذكر"/>
    <x v="2"/>
    <s v="564547731"/>
    <s v="N/A"/>
    <s v="N/A"/>
    <s v="مفتوح"/>
    <s v="N/A"/>
    <s v="N/A"/>
    <s v="N/A"/>
    <s v="N/A"/>
    <s v="N/A"/>
    <s v="02-050-0459550"/>
    <s v="Aug 25 2025  8:51AM"/>
  </r>
  <r>
    <s v="أخرى"/>
    <s v="6146070689"/>
    <s v="مقصود محمد  حسن"/>
    <s v="INV025324695"/>
    <x v="102"/>
    <x v="1"/>
    <s v="عالي جدًا - معتمر من الخارج"/>
    <s v="مجموعة عمل الأمراض المعدية الآخرى"/>
    <s v="*الملاريا"/>
    <s v="حالة"/>
    <x v="2"/>
    <s v="تحت الإجراء"/>
    <x v="1"/>
    <s v="المديرية العامة للشؤون الصحية في المدينة المنورة"/>
    <s v="المدينة المنورة"/>
    <s v="مستشفى السلام"/>
    <s v="المديرية العامة للشؤون الصحية في المدينة المنورة"/>
    <s v="2007-02-01"/>
    <s v="18"/>
    <s v="ذكر"/>
    <x v="0"/>
    <s v="567115991"/>
    <s v="N/A"/>
    <s v="N/A"/>
    <s v="مفتوح"/>
    <s v="N/A"/>
    <s v="N/A"/>
    <s v="N/A"/>
    <s v="N/A"/>
    <s v="N/A"/>
    <s v="02-050-0459786"/>
    <s v="Aug 25 2025 11:17AM"/>
  </r>
  <r>
    <s v="مقيم"/>
    <s v="2612044913"/>
    <s v="محمد سيد   ييمر"/>
    <s v="INV025324744"/>
    <x v="102"/>
    <x v="1"/>
    <s v="متوسط"/>
    <s v="مجموعة عمل الأمراض المعدية الآخرى"/>
    <s v="*الملاريا"/>
    <s v="حالة"/>
    <x v="2"/>
    <s v="معلَق"/>
    <x v="5"/>
    <s v="المديرية العامة للشؤون الصحية في المدينة المنورة"/>
    <s v="المدينة المنورة"/>
    <s v="مركز صحي الحناكية للرعاية الصحية الأولية"/>
    <s v="المديرية العامة للشؤون الصحية في المدينة المنورة"/>
    <s v="2000-05-26"/>
    <s v="25"/>
    <s v="ذكر"/>
    <x v="1"/>
    <s v="559377362"/>
    <s v="N/A"/>
    <s v="N/A"/>
    <s v="مفتوح"/>
    <s v="N/A"/>
    <s v="N/A"/>
    <s v="N/A"/>
    <s v="N/A"/>
    <s v="N/A"/>
    <s v="N/A"/>
    <s v="N/A"/>
  </r>
  <r>
    <s v="مقيم"/>
    <s v="2612679676"/>
    <s v="باريت حاجي  حسين"/>
    <s v="INV025324753"/>
    <x v="102"/>
    <x v="1"/>
    <s v="متوسط"/>
    <s v="مجموعة عمل الأمراض المعدية الآخرى"/>
    <s v="*الملاريا"/>
    <s v="حالة"/>
    <x v="2"/>
    <s v="معلَق"/>
    <x v="5"/>
    <s v="المديرية العامة للشؤون الصحية في المدينة المنورة"/>
    <s v="المدينة المنورة"/>
    <s v="مركز صحي الجرف"/>
    <s v="المديرية العامة للشؤون الصحية في المدينة المنورة"/>
    <s v="1997-11-07"/>
    <s v="27"/>
    <s v="انثى"/>
    <x v="1"/>
    <s v="563331321"/>
    <s v="N/A"/>
    <s v="N/A"/>
    <s v="مفتوح"/>
    <s v="N/A"/>
    <s v="N/A"/>
    <s v="N/A"/>
    <s v="N/A"/>
    <s v="N/A"/>
    <s v="N/A"/>
    <s v="N/A"/>
  </r>
  <r>
    <s v="مقيم"/>
    <s v="2515834675"/>
    <s v="عمر عبد الكريم  أبو بكر"/>
    <s v="INV025325156"/>
    <x v="103"/>
    <x v="0"/>
    <s v="عالي"/>
    <s v="مجموعة عمل الأمراض المعدية الآخرى"/>
    <s v="*الملاريا"/>
    <s v="حالة"/>
    <x v="0"/>
    <s v="تنويم"/>
    <x v="0"/>
    <s v="المديرية العامة للشؤون الصحية في المدينة المنورة"/>
    <s v="المدينة المنورة"/>
    <s v="المركز الطبي الجامعي بالجامعة الاسلامية"/>
    <s v="المديرية العامة للشؤون الصحية في المدينة المنورة"/>
    <s v="2002-06-22"/>
    <s v="23"/>
    <s v="ذكر"/>
    <x v="13"/>
    <s v="569690320"/>
    <s v="N/A"/>
    <s v="N/A"/>
    <s v="مفتوح"/>
    <s v="N/A"/>
    <s v="N/A"/>
    <s v="N/A"/>
    <s v="Vomiting,حمى "/>
    <s v="Aug 26 2025 12:00AM,Aug 26 2025 12:00AM"/>
    <s v="02-050-0460212"/>
    <s v="Aug 26 2025  7:47AM"/>
  </r>
  <r>
    <s v="مقيم"/>
    <s v="2474487648"/>
    <s v="ALABA WALIYULLAHI  BADMUS"/>
    <s v="INV025325166"/>
    <x v="103"/>
    <x v="0"/>
    <s v="عالي"/>
    <s v="مجموعة عمل الأمراض المعدية الآخرى"/>
    <s v="*الملاريا"/>
    <s v="حالة"/>
    <x v="0"/>
    <s v="تنويم"/>
    <x v="0"/>
    <s v="المديرية العامة للشؤون الصحية في المدينة المنورة"/>
    <s v="المدينة المنورة"/>
    <s v="مركز الفتح للرعاية الصحية الاولية"/>
    <s v="المديرية العامة للشؤون الصحية في المدينة المنورة"/>
    <s v="1998-04-17"/>
    <s v="27"/>
    <s v="ذكر"/>
    <x v="15"/>
    <s v="583178120"/>
    <s v="N/A"/>
    <s v="N/A"/>
    <s v="مفتوح"/>
    <s v="N/A"/>
    <s v="N/A"/>
    <s v="N/A"/>
    <s v="حمى ,صداع "/>
    <s v="Aug 23 2025 12:00AM,Aug 23 2025 12:00AM"/>
    <s v="02-050-0460224"/>
    <s v="Aug 26 2025  8:09AM"/>
  </r>
  <r>
    <s v="أخرى"/>
    <s v="EQ2078570"/>
    <s v="AMZA   MOHAMMED"/>
    <s v="INV025325520"/>
    <x v="103"/>
    <x v="0"/>
    <s v="متوسط"/>
    <s v="مجموعة عمل الأمراض المعدية الآخرى"/>
    <s v="*الملاريا"/>
    <s v="بلاغ أولي"/>
    <x v="2"/>
    <s v="تنويم"/>
    <x v="28"/>
    <s v="المديرية العامة للشؤون الصحية في المدينة المنورة"/>
    <s v="المدينة المنورة"/>
    <s v="الرويضة"/>
    <s v="المديرية العامة للشؤون الصحية في المدينة المنورة"/>
    <s v="2002-05-17"/>
    <s v="23"/>
    <s v="ذكر"/>
    <x v="1"/>
    <s v="553012405"/>
    <s v="N/A"/>
    <s v="N/A"/>
    <s v="مفتوح"/>
    <s v="N/A"/>
    <s v="N/A"/>
    <s v="N/A"/>
    <s v="N/A"/>
    <s v="N/A"/>
    <s v="02-050-0460527"/>
    <s v="Aug 26 2025 12:10PM"/>
  </r>
  <r>
    <s v="أخرى"/>
    <s v="EQ2829203"/>
    <s v="Lomi Mohammed Mohammed Mohammed"/>
    <s v="INV025325634"/>
    <x v="103"/>
    <x v="1"/>
    <s v="عالي"/>
    <s v="مجموعة عمل الأمراض المعدية الآخرى"/>
    <s v="*الملاريا"/>
    <s v="حالة"/>
    <x v="4"/>
    <s v="معلَق"/>
    <x v="22"/>
    <s v="المديرية العامة للشؤون الصحية في المدينة المنورة"/>
    <s v="المدينة المنورة"/>
    <s v="مركز رعاية صحية أولية بالعمق"/>
    <s v="المديرية العامة للشؤون الصحية في المدينة المنورة"/>
    <s v="1996-08-26"/>
    <s v="29"/>
    <s v="انثى"/>
    <x v="1"/>
    <s v="507183640"/>
    <s v="N/A"/>
    <s v="N/A"/>
    <s v="مفتوح"/>
    <s v="N/A"/>
    <s v="N/A"/>
    <s v="N/A"/>
    <s v="N/A"/>
    <s v="N/A"/>
    <s v="02-050-0460632"/>
    <s v="Aug 26 2025  1:52PM"/>
  </r>
  <r>
    <s v="مقيم"/>
    <s v="2476640251"/>
    <s v="ابوبكر عبد القادر السماني جبوره"/>
    <s v="INV025325977"/>
    <x v="104"/>
    <x v="0"/>
    <s v="عالي"/>
    <s v="مجموعة عمل الأمراض المعدية الآخرى"/>
    <s v="*الملاريا"/>
    <s v="حالة"/>
    <x v="0"/>
    <s v="تنويم"/>
    <x v="0"/>
    <s v="المديرية العامة للشؤون الصحية في المدينة المنورة"/>
    <s v="المدينة المنورة"/>
    <s v="المركز الطبي الجامعي بالجامعة الاسلامية"/>
    <s v="المديرية العامة للشؤون الصحية في المدينة المنورة"/>
    <s v="1997-01-01"/>
    <s v="28"/>
    <s v="ذكر"/>
    <x v="2"/>
    <s v="544512290"/>
    <s v="N/A"/>
    <s v="N/A"/>
    <s v="مفتوح"/>
    <s v="N/A"/>
    <s v="N/A"/>
    <s v="N/A"/>
    <s v="حمى ,صداع "/>
    <s v="Aug 22 2025 12:00AM,Aug 27 2025 12:00AM"/>
    <s v="02-050-0460886"/>
    <s v="Aug 27 2025  7:52AM"/>
  </r>
  <r>
    <s v="مقيم"/>
    <s v="2542980251"/>
    <s v="عثمان   عبدالنور"/>
    <s v="INV025325983"/>
    <x v="104"/>
    <x v="0"/>
    <s v="عالي"/>
    <s v="مجموعة عمل الأمراض المعدية الآخرى"/>
    <s v="*الملاريا"/>
    <s v="حالة"/>
    <x v="0"/>
    <s v="تنويم"/>
    <x v="0"/>
    <s v="المديرية العامة للشؤون الصحية في المدينة المنورة"/>
    <s v="المدينة المنورة"/>
    <s v="المركز الطبي الجامعي بالجامعة الاسلامية"/>
    <s v="المديرية العامة للشؤون الصحية في المدينة المنورة"/>
    <s v="2003-05-24"/>
    <s v="22"/>
    <s v="ذكر"/>
    <x v="13"/>
    <s v="564145879"/>
    <s v="N/A"/>
    <s v="N/A"/>
    <s v="مفتوح"/>
    <s v="N/A"/>
    <s v="N/A"/>
    <s v="N/A"/>
    <s v="حمى ,صداع "/>
    <s v="Aug 23 2025 12:00AM,Aug 23 2025 12:00AM"/>
    <s v="02-050-0460890"/>
    <s v="Aug 27 2025  7:57AM"/>
  </r>
  <r>
    <s v="مقيم"/>
    <s v="2496631207"/>
    <s v="عبد الرحمن   توغو"/>
    <s v="INV025325987"/>
    <x v="104"/>
    <x v="0"/>
    <s v="عالي"/>
    <s v="مجموعة عمل الأمراض المعدية الآخرى"/>
    <s v="*الملاريا"/>
    <s v="حالة"/>
    <x v="0"/>
    <s v="معلَق"/>
    <x v="0"/>
    <s v="المديرية العامة للشؤون الصحية في المدينة المنورة"/>
    <s v="المدينة المنورة"/>
    <s v="مركز صحي طيبة"/>
    <s v="المديرية العامة للشؤون الصحية في المدينة المنورة"/>
    <s v="1999-12-31"/>
    <s v="25"/>
    <s v="ذكر"/>
    <x v="22"/>
    <s v="557649885"/>
    <s v="N/A"/>
    <s v="N/A"/>
    <s v="مفتوح"/>
    <s v="N/A"/>
    <s v="N/A"/>
    <s v="N/A"/>
    <s v="حمى ,صداع "/>
    <s v="Aug 21 2025 12:00AM,Aug 21 2025 12:00AM"/>
    <s v="02-050-0460896"/>
    <s v="Aug 27 2025  8:02AM"/>
  </r>
  <r>
    <s v="مقيم"/>
    <s v="2259867444"/>
    <s v="محمد ناظم حضور بخش"/>
    <s v="INV025325996"/>
    <x v="104"/>
    <x v="1"/>
    <s v="عالي"/>
    <s v="مجموعة عمل الأمراض المعدية الآخرى"/>
    <s v="*الملاريا"/>
    <s v="حالة"/>
    <x v="0"/>
    <s v="تنويم"/>
    <x v="0"/>
    <s v="المديرية العامة للشؤون الصحية في المدينة المنورة"/>
    <s v="المدينة المنورة"/>
    <s v="مركز العاقول للرعاية الصحية الاولية"/>
    <s v="المديرية العامة للشؤون الصحية في المدينة المنورة"/>
    <s v="1986-04-16"/>
    <s v="39"/>
    <s v="ذكر"/>
    <x v="0"/>
    <s v="596573504"/>
    <s v="N/A"/>
    <s v="N/A"/>
    <s v="مفتوح"/>
    <s v="N/A"/>
    <s v="N/A"/>
    <s v="N/A"/>
    <s v="حمى "/>
    <s v="Aug 23 2025 12:00AM"/>
    <s v="02-050-0460901"/>
    <s v="Aug 27 2025  8:07AM"/>
  </r>
  <r>
    <s v="مواطن"/>
    <s v="1125812881"/>
    <s v="سلطان خلف مناور المطيري"/>
    <s v="INV025326315"/>
    <x v="104"/>
    <x v="6"/>
    <s v="عالي"/>
    <s v="مجموعة عمل الأمراض المعدية الآخرى"/>
    <s v="*الملاريا"/>
    <s v="حالة"/>
    <x v="2"/>
    <s v="تحت الإجراء"/>
    <x v="4"/>
    <s v="المديرية العامة للشؤون الصحية في المدينة المنورة"/>
    <s v="المدينة المنورة"/>
    <s v="مركز وعيرة للرعاية الصحية الاولية"/>
    <s v="المديرية العامة للشؤون الصحية في المدينة المنورة"/>
    <s v="2002-04-26"/>
    <s v="23"/>
    <s v="ذكر"/>
    <x v="4"/>
    <s v="558370540"/>
    <s v="N/A"/>
    <s v="N/A"/>
    <s v="مفتوح"/>
    <s v="N/A"/>
    <s v="N/A"/>
    <s v="N/A"/>
    <s v="Vomiting, intermittent Fever"/>
    <s v="Aug 25 2025 12:00AM,Aug 19 2025 12:00AM"/>
    <s v="02-050-0461740,02-050-0461741"/>
    <s v="Aug 28 2025  9:58AM,Aug 28 2025 10:01AM"/>
  </r>
  <r>
    <s v="مقيم"/>
    <s v="2564419717"/>
    <s v="حسن   أمرالدين"/>
    <s v="INV025328156"/>
    <x v="105"/>
    <x v="0"/>
    <s v="عالي"/>
    <s v="مجموعة عمل الأمراض المعدية الآخرى"/>
    <s v="*الملاريا"/>
    <s v="حالة"/>
    <x v="2"/>
    <s v="تنويم"/>
    <x v="0"/>
    <s v="المديرية العامة للشؤون الصحية في المدينة المنورة"/>
    <s v="المدينة المنورة"/>
    <s v="المركز الطبي الجامعي بالجامعة الاسلامية"/>
    <s v="المديرية العامة للشؤون الصحية في المدينة المنورة"/>
    <s v="1998-09-15"/>
    <s v="26"/>
    <s v="ذكر"/>
    <x v="18"/>
    <s v="553035704"/>
    <s v="N/A"/>
    <s v="N/A"/>
    <s v="مفتوح"/>
    <s v="N/A"/>
    <s v="N/A"/>
    <s v="N/A"/>
    <s v="N/A"/>
    <s v="N/A"/>
    <s v="02-050-0462636"/>
    <s v="Aug 31 2025  9:04AM"/>
  </r>
  <r>
    <s v="مقيم"/>
    <s v="2397209624"/>
    <s v="ابراهيم حسن احمد عبدالله"/>
    <s v="INV025328187"/>
    <x v="105"/>
    <x v="0"/>
    <s v="عالي"/>
    <s v="مجموعة عمل الأمراض المعدية الآخرى"/>
    <s v="*الملاريا"/>
    <s v="حالة"/>
    <x v="2"/>
    <s v="تنويم"/>
    <x v="0"/>
    <s v="المديرية العامة للشؤون الصحية في المدينة المنورة"/>
    <s v="المدينة المنورة"/>
    <s v="مركز قباء"/>
    <s v="المديرية العامة للشؤون الصحية في المدينة المنورة"/>
    <s v="1984-01-01"/>
    <s v="41"/>
    <s v="ذكر"/>
    <x v="2"/>
    <s v="565728253"/>
    <s v="N/A"/>
    <s v="N/A"/>
    <s v="مفتوح"/>
    <s v="N/A"/>
    <s v="N/A"/>
    <s v="N/A"/>
    <s v="N/A"/>
    <s v="N/A"/>
    <s v="02-050-0462666"/>
    <s v="Aug 31 2025  9:18AM"/>
  </r>
  <r>
    <s v="مقيم"/>
    <s v="2512077963"/>
    <s v="زكريا   بري"/>
    <s v="INV025328212"/>
    <x v="105"/>
    <x v="0"/>
    <s v="عالي"/>
    <s v="مجموعة عمل الأمراض المعدية الآخرى"/>
    <s v="*الملاريا"/>
    <s v="حالة"/>
    <x v="2"/>
    <s v="تنويم"/>
    <x v="0"/>
    <s v="المديرية العامة للشؤون الصحية في المدينة المنورة"/>
    <s v="المدينة المنورة"/>
    <s v="المركز الطبي الجامعي بالجامعة الاسلامية"/>
    <s v="المديرية العامة للشؤون الصحية في المدينة المنورة"/>
    <s v="1999-02-01"/>
    <s v="26"/>
    <s v="ذكر"/>
    <x v="16"/>
    <s v="548271318"/>
    <s v="N/A"/>
    <s v="N/A"/>
    <s v="مفتوح"/>
    <s v="N/A"/>
    <s v="N/A"/>
    <s v="N/A"/>
    <s v="N/A"/>
    <s v="N/A"/>
    <s v="02-050-0462679"/>
    <s v="Aug 31 2025  9:26AM"/>
  </r>
  <r>
    <s v="مقيم"/>
    <s v="2569470715"/>
    <s v="الفا محمد   جالوه"/>
    <s v="INV025328443"/>
    <x v="105"/>
    <x v="0"/>
    <s v="عالي"/>
    <s v="مجموعة عمل الأمراض المعدية الآخرى"/>
    <s v="*الملاريا"/>
    <s v="حالة"/>
    <x v="2"/>
    <s v="تنويم"/>
    <x v="0"/>
    <s v="المديرية العامة للشؤون الصحية في المدينة المنورة"/>
    <s v="المدينة المنورة"/>
    <s v="المركز الطبي الجامعي بالجامعة الاسلامية"/>
    <s v="المديرية العامة للشؤون الصحية في المدينة المنورة"/>
    <s v="1999-12-01"/>
    <s v="25"/>
    <s v="ذكر"/>
    <x v="21"/>
    <s v="509664571"/>
    <s v="N/A"/>
    <s v="N/A"/>
    <s v="مفتوح"/>
    <s v="N/A"/>
    <s v="N/A"/>
    <s v="N/A"/>
    <s v="N/A"/>
    <s v="N/A"/>
    <s v="02-050-0462851"/>
    <s v="Aug 31 2025 10:56AM"/>
  </r>
  <r>
    <s v="مقيم"/>
    <s v="2567262858"/>
    <s v="مالك ألايولا  فاديل"/>
    <s v="INV025329275"/>
    <x v="106"/>
    <x v="0"/>
    <s v="N/A"/>
    <s v="مجموعة عمل الأمراض المعدية الآخرى"/>
    <s v="*الملاريا"/>
    <s v="حالة"/>
    <x v="2"/>
    <s v="بلاغ أولي"/>
    <x v="27"/>
    <s v="المديرية العامة للشؤون الصحية في المدينة المنورة"/>
    <s v="المدينة المنورة"/>
    <s v="المركز الطبي الجامعي"/>
    <s v="المديرية العامة للشؤون الصحية في المدينة المنورة"/>
    <s v="2003-12-27"/>
    <s v="21"/>
    <s v="ذكر"/>
    <x v="15"/>
    <s v="504650479"/>
    <s v="N/A"/>
    <s v="N/A"/>
    <s v="مفتوح"/>
    <s v="N/A"/>
    <s v="N/A"/>
    <s v="N/A"/>
    <s v="N/A"/>
    <s v="N/A"/>
    <s v="N/A"/>
    <s v="N/A"/>
  </r>
  <r>
    <s v="مقيم"/>
    <s v="2538374378"/>
    <s v="ابكر عيسي  احمد"/>
    <s v="INV025329286"/>
    <x v="106"/>
    <x v="0"/>
    <s v="عالي"/>
    <s v="مجموعة عمل الأمراض المعدية الآخرى"/>
    <s v="*الملاريا"/>
    <s v="حالة"/>
    <x v="2"/>
    <s v="معلَق"/>
    <x v="0"/>
    <s v="المديرية العامة للشؤون الصحية في المدينة المنورة"/>
    <s v="المدينة المنورة"/>
    <s v="مركز الرعاية الصحيه الأولية بالعوالي"/>
    <s v="المديرية العامة للشؤون الصحية بمنطقة مكة المكرمة"/>
    <s v="2003-01-01"/>
    <s v="22"/>
    <s v="ذكر"/>
    <x v="9"/>
    <s v="580369967"/>
    <s v="N/A"/>
    <s v="N/A"/>
    <s v="مفتوح"/>
    <s v="N/A"/>
    <s v="N/A"/>
    <s v="N/A"/>
    <s v="Vomiting,حمى "/>
    <s v="Aug 27 2025 12:00AM,Aug 27 2025 12:00AM"/>
    <s v="02-050-0463485"/>
    <s v="Sep  1 2025 10:20AM"/>
  </r>
  <r>
    <s v="مقيم"/>
    <s v="2543224295"/>
    <s v="محمد نور عيسي  محمد"/>
    <s v="INV025329300"/>
    <x v="106"/>
    <x v="0"/>
    <s v="عالي"/>
    <s v="مجموعة عمل الأمراض المعدية الآخرى"/>
    <s v="*الملاريا"/>
    <s v="حالة"/>
    <x v="0"/>
    <s v="معلَق"/>
    <x v="0"/>
    <s v="المديرية العامة للشؤون الصحية في المدينة المنورة"/>
    <s v="المدينة المنورة"/>
    <s v="المركز الطبي الجامعي بالجامعة الاسلامية"/>
    <s v="المديرية العامة للشؤون الصحية في المدينة المنورة"/>
    <s v="2000-01-01"/>
    <s v="25"/>
    <s v="ذكر"/>
    <x v="9"/>
    <s v="538792919"/>
    <s v="N/A"/>
    <s v="N/A"/>
    <s v="مفتوح"/>
    <s v="N/A"/>
    <s v="N/A"/>
    <s v="N/A"/>
    <s v="حمى ,صداع "/>
    <s v="Aug 26 2025 12:00AM,Aug 26 2025 12:00AM"/>
    <s v="02-050-0463497"/>
    <s v="Sep  1 2025 10:27AM"/>
  </r>
  <r>
    <s v="أخرى"/>
    <s v="P09555412"/>
    <s v="ANAMZARL   MOMAND"/>
    <s v="INV025329775"/>
    <x v="106"/>
    <x v="1"/>
    <s v="عالي جدًا - معتمر من الخارج"/>
    <s v="مجموعة عمل الأمراض المعدية الآخرى"/>
    <s v="*الملاريا"/>
    <s v="حالة"/>
    <x v="2"/>
    <s v="تحت الإجراء"/>
    <x v="23"/>
    <s v="المديرية العامة للشؤون الصحية في المدينة المنورة"/>
    <s v="المدينة المنورة"/>
    <s v="مستشفى الحرم الميداني"/>
    <s v="المديرية العامة للشؤون الصحية في المدينة المنورة"/>
    <s v="1968-03-21"/>
    <s v="57"/>
    <s v="انثى"/>
    <x v="23"/>
    <s v="568414443"/>
    <s v="N/A"/>
    <s v="N/A"/>
    <s v="مفتوح"/>
    <s v="N/A"/>
    <s v="N/A"/>
    <s v="N/A"/>
    <s v="N/A"/>
    <s v="N/A"/>
    <s v="02-050-0463937"/>
    <s v="Sep  1 2025  5:59PM"/>
  </r>
  <r>
    <s v="مقيم"/>
    <s v="2496391968"/>
    <s v="تاجدين   ايوا"/>
    <s v="INV025330717"/>
    <x v="107"/>
    <x v="0"/>
    <s v="N/A"/>
    <s v="مجموعة عمل الأمراض المعدية الآخرى"/>
    <s v="*الملاريا"/>
    <s v="حالة"/>
    <x v="2"/>
    <s v="بلاغ أولي"/>
    <x v="27"/>
    <s v="المديرية العامة للشؤون الصحية في المدينة المنورة"/>
    <s v="المدينة المنورة"/>
    <s v="المركز الطبي الجامعي"/>
    <s v="المديرية العامة للشؤون الصحية في المدينة المنورة"/>
    <s v="2000-04-05"/>
    <s v="25"/>
    <s v="ذكر"/>
    <x v="24"/>
    <s v="590632624"/>
    <s v="N/A"/>
    <s v="N/A"/>
    <s v="مفتوح"/>
    <s v="N/A"/>
    <s v="N/A"/>
    <s v="N/A"/>
    <s v="N/A"/>
    <s v="N/A"/>
    <s v="N/A"/>
    <s v="N/A"/>
  </r>
  <r>
    <s v="مقيم"/>
    <s v="2326477797"/>
    <s v="خالد عبد الله الطيب محمد"/>
    <s v="INV025331135"/>
    <x v="107"/>
    <x v="1"/>
    <s v="عالي"/>
    <s v="مجموعة عمل الأمراض المعدية الآخرى"/>
    <s v="*الملاريا"/>
    <s v="حالة"/>
    <x v="2"/>
    <s v="تنويم"/>
    <x v="0"/>
    <s v="المديرية العامة للشؤون الصحية في المدينة المنورة"/>
    <s v="المدينة المنورة"/>
    <s v="مركز صحي العزيزية"/>
    <s v="المديرية العامة للشؤون الصحية في المدينة المنورة"/>
    <s v="1985-01-01"/>
    <s v="40"/>
    <s v="ذكر"/>
    <x v="2"/>
    <s v="509648524"/>
    <s v="N/A"/>
    <s v="N/A"/>
    <s v="مفتوح"/>
    <s v="N/A"/>
    <s v="N/A"/>
    <s v="N/A"/>
    <s v="N/A"/>
    <s v="N/A"/>
    <s v="02-050-0465206"/>
    <s v="Sep  3 2025  1:21PM"/>
  </r>
  <r>
    <s v="أخرى"/>
    <s v="EP7022027"/>
    <s v="ميهاد   كامل"/>
    <s v="INV025331156"/>
    <x v="107"/>
    <x v="0"/>
    <s v="عالي"/>
    <s v="مجموعة عمل الأمراض المعدية الآخرى"/>
    <s v="*الملاريا"/>
    <s v="حالة"/>
    <x v="2"/>
    <s v="تحت الإجراء"/>
    <x v="0"/>
    <s v="المديرية العامة للشؤون الصحية في المدينة المنورة"/>
    <s v="المدينة المنورة"/>
    <s v="مستشفى الميقات العام"/>
    <s v="المديرية العامة للشؤون الصحية في المدينة المنورة"/>
    <s v="1973-09-11"/>
    <s v="52"/>
    <s v="ذكر"/>
    <x v="25"/>
    <s v="500000000"/>
    <s v="N/A"/>
    <s v="N/A"/>
    <s v="مفتوح"/>
    <s v="N/A"/>
    <s v="N/A"/>
    <s v="N/A"/>
    <s v="N/A"/>
    <s v="N/A"/>
    <s v="02-050-0465224"/>
    <s v="Sep  3 2025  1:36PM"/>
  </r>
  <r>
    <s v="مقيم"/>
    <s v="2543393496"/>
    <s v="فقيه أحمد  عبده"/>
    <s v="INV025331510"/>
    <x v="108"/>
    <x v="0"/>
    <s v="N/A"/>
    <s v="مجموعة عمل الأمراض المعدية الآخرى"/>
    <s v="*الملاريا"/>
    <s v="حالة"/>
    <x v="2"/>
    <s v="بلاغ أولي"/>
    <x v="27"/>
    <s v="المديرية العامة للشؤون الصحية في المدينة المنورة"/>
    <s v="المدينة المنورة"/>
    <s v="المركز الطبي الجامعي بالجامعة الاسلامية"/>
    <s v="المديرية العامة للشؤون الصحية في المدينة المنورة"/>
    <s v="1997-02-01"/>
    <s v="28"/>
    <s v="ذكر"/>
    <x v="18"/>
    <s v="534413577"/>
    <s v="N/A"/>
    <s v="N/A"/>
    <s v="مفتوح"/>
    <s v="N/A"/>
    <s v="N/A"/>
    <s v="N/A"/>
    <s v="N/A"/>
    <s v="N/A"/>
    <s v="N/A"/>
    <s v="N/A"/>
  </r>
  <r>
    <s v="مقيم"/>
    <s v="2568200485"/>
    <s v="عليو كابري  أبو بكر"/>
    <s v="INV025332198"/>
    <x v="108"/>
    <x v="0"/>
    <s v="N/A"/>
    <s v="مجموعة عمل الأمراض المعدية الآخرى"/>
    <s v="*الملاريا"/>
    <s v="حالة"/>
    <x v="2"/>
    <s v="بلاغ أولي"/>
    <x v="27"/>
    <s v="المديرية العامة للشؤون الصحية في المدينة المنورة"/>
    <s v="المدينة المنورة"/>
    <s v="المركز الطبي الجامعي بالجامعة الاسلامية"/>
    <s v="المديرية العامة للشؤون الصحية في المدينة المنورة"/>
    <s v="2004-07-12"/>
    <s v="21"/>
    <s v="ذكر"/>
    <x v="15"/>
    <s v="547680912"/>
    <s v="N/A"/>
    <s v="N/A"/>
    <s v="مفتوح"/>
    <s v="N/A"/>
    <s v="N/A"/>
    <s v="N/A"/>
    <s v="N/A"/>
    <s v="N/A"/>
    <s v="02-050-0466522"/>
    <s v="Sep  7 2025  8:57AM"/>
  </r>
  <r>
    <s v="مقيم"/>
    <s v="2541382095"/>
    <s v="محمد   جالوه"/>
    <s v="INV025332200"/>
    <x v="108"/>
    <x v="2"/>
    <s v="N/A"/>
    <s v="مجموعة عمل الأمراض المعدية الآخرى"/>
    <s v="*الملاريا"/>
    <s v="حالة"/>
    <x v="2"/>
    <s v="بلاغ أولي"/>
    <x v="27"/>
    <s v="المديرية العامة للشؤون الصحية في المدينة المنورة"/>
    <s v="المدينة المنورة"/>
    <s v="المركز الطبي الجامعي بالجامعة الاسلامية"/>
    <s v="المديرية العامة للشؤون الصحية في المدينة المنورة"/>
    <s v="2000-03-07"/>
    <s v="25"/>
    <s v="ذكر"/>
    <x v="21"/>
    <s v="535518106"/>
    <s v="N/A"/>
    <s v="N/A"/>
    <s v="مفتوح"/>
    <s v="N/A"/>
    <s v="N/A"/>
    <s v="N/A"/>
    <s v="N/A"/>
    <s v="N/A"/>
    <s v="N/A"/>
    <s v="N/A"/>
  </r>
  <r>
    <s v="أخرى"/>
    <s v="RK9604745"/>
    <s v="Rozi   Adoum"/>
    <s v="INV025332272"/>
    <x v="109"/>
    <x v="0"/>
    <s v="عالي جدًا - معتمر من الخارج"/>
    <s v="مجموعة عمل الأمراض المعدية الآخرى"/>
    <s v="*الملاريا"/>
    <s v="حالة"/>
    <x v="3"/>
    <s v="إحالة خارجية"/>
    <x v="10"/>
    <s v="المديرية العامة للشؤون الصحية في المدينة المنورة"/>
    <s v="المدينة المنورة"/>
    <s v="قسم نواقل المرض والأمراض المشتركة بتجمع المدينة"/>
    <s v="المديرية العامة للشؤون الصحية في المدينة المنورة"/>
    <s v="1962-01-01"/>
    <s v="63"/>
    <s v="ذكر"/>
    <x v="9"/>
    <s v="595824200"/>
    <s v="N/A"/>
    <s v="N/A"/>
    <s v="مفتوح"/>
    <s v="N/A"/>
    <s v="N/A"/>
    <s v="N/A"/>
    <s v=" intermittent Fever,loss of appetite"/>
    <s v="Sep  1 2025 12:00AM,Sep  1 2025 12:00AM"/>
    <s v="02-050-0466189,02-050-0466190"/>
    <s v="Sep  5 2025 12:20PM,Sep  5 2025 12:26PM"/>
  </r>
  <r>
    <s v="مقيم"/>
    <s v="2566818015"/>
    <s v="محمد عيسي محمد حسن"/>
    <s v="INV025332726"/>
    <x v="110"/>
    <x v="0"/>
    <s v="عالي"/>
    <s v="مجموعة عمل الأمراض المعدية الآخرى"/>
    <s v="*الملاريا"/>
    <s v="حالة"/>
    <x v="2"/>
    <s v="تنويم"/>
    <x v="0"/>
    <s v="المديرية العامة للشؤون الصحية في المدينة المنورة"/>
    <s v="المدينة المنورة"/>
    <s v="المركز الطبي الجامعي بالجامعة الاسلامية"/>
    <s v="المديرية العامة للشؤون الصحية في المدينة المنورة"/>
    <s v="2003-04-01"/>
    <s v="22"/>
    <s v="ذكر"/>
    <x v="9"/>
    <s v="563508493"/>
    <s v="N/A"/>
    <s v="N/A"/>
    <s v="مفتوح"/>
    <s v="N/A"/>
    <s v="N/A"/>
    <s v="N/A"/>
    <s v="Vomiting,حمى ,صداع "/>
    <s v="Aug 28 2025 12:00AM,Aug 28 2025 12:00AM,Aug 28 2025 12:00AM"/>
    <s v="02-050-0466535"/>
    <s v="Sep  7 2025  9:03AM"/>
  </r>
  <r>
    <s v="مقيم"/>
    <s v="2483768830"/>
    <s v="مزمل محمد محمد بيلو"/>
    <s v="INV025333735"/>
    <x v="111"/>
    <x v="0"/>
    <s v="عالي"/>
    <s v="مجموعة عمل الأمراض المعدية الآخرى"/>
    <s v="*الملاريا"/>
    <s v="حالة"/>
    <x v="2"/>
    <s v="معلَق"/>
    <x v="26"/>
    <s v="المديرية العامة للشؤون الصحية في المدينة المنورة"/>
    <s v="المدينة المنورة"/>
    <s v="مركز الفتح للرعاية الصحية الاولية"/>
    <s v="المديرية العامة للشؤون الصحية في المدينة المنورة"/>
    <s v="1993-01-01"/>
    <s v="32"/>
    <s v="ذكر"/>
    <x v="2"/>
    <s v="547185641"/>
    <s v="N/A"/>
    <s v="N/A"/>
    <s v="مفتوح"/>
    <s v="N/A"/>
    <s v="N/A"/>
    <s v="N/A"/>
    <s v="N/A"/>
    <s v="N/A"/>
    <s v="02-050-0467373"/>
    <s v="Sep  8 2025  8:43AM"/>
  </r>
  <r>
    <s v="أخرى"/>
    <s v="3775878"/>
    <s v="Afeefa MAREEM  MAREEM"/>
    <s v="INV025334291"/>
    <x v="111"/>
    <x v="1"/>
    <s v="عالي جدًا - معتمر من الخارج"/>
    <s v="مجموعة عمل الأمراض المعدية الآخرى"/>
    <s v="*الملاريا"/>
    <s v="حالة"/>
    <x v="0"/>
    <s v="تنويم"/>
    <x v="29"/>
    <s v="المديرية العامة للشؤون الصحية في المدينة المنورة"/>
    <s v="المدينة المنورة"/>
    <s v="وحدة الأمراض المعدية"/>
    <s v="المديرية العامة للشؤون الصحية في المدينة المنورة"/>
    <s v="1998-09-27"/>
    <s v="26"/>
    <s v="انثى"/>
    <x v="12"/>
    <s v="507964057"/>
    <s v="N/A"/>
    <s v="N/A"/>
    <s v="مفتوح"/>
    <s v="N/A"/>
    <s v="N/A"/>
    <s v="N/A"/>
    <s v="N/A"/>
    <s v="N/A"/>
    <s v="02-050-0467934,02-050-0467957"/>
    <s v="Sep  8 2025  2:38PM,Sep  8 2025  2:50PM"/>
  </r>
  <r>
    <s v="مقيم"/>
    <s v="2496748910"/>
    <s v="تهيرنو ابوبكر  دياللو"/>
    <s v="INV025334995"/>
    <x v="112"/>
    <x v="0"/>
    <s v="N/A"/>
    <s v="مجموعة عمل الأمراض المعدية الآخرى"/>
    <s v="*الملاريا"/>
    <s v="حالة"/>
    <x v="2"/>
    <s v="بلاغ أولي"/>
    <x v="27"/>
    <s v="المديرية العامة للشؤون الصحية في المدينة المنورة"/>
    <s v="المدينة المنورة"/>
    <s v="المركز الطبي الجامعي بالجامعة الاسلامية"/>
    <s v="المديرية العامة للشؤون الصحية في المدينة المنورة"/>
    <s v="2001-05-15"/>
    <s v="24"/>
    <s v="ذكر"/>
    <x v="16"/>
    <s v="508225321"/>
    <s v="N/A"/>
    <s v="N/A"/>
    <s v="مفتوح"/>
    <s v="N/A"/>
    <s v="N/A"/>
    <s v="N/A"/>
    <s v="N/A"/>
    <s v="N/A"/>
    <s v="02-050-0469628"/>
    <s v="Sep 10 2025  1:39PM"/>
  </r>
  <r>
    <s v="أخرى"/>
    <s v="AD330411"/>
    <s v="MOHAMMED   NAGORI"/>
    <s v="INV025335370"/>
    <x v="112"/>
    <x v="1"/>
    <s v="عالي جدًا - معتمر من الخارج"/>
    <s v="مجموعة عمل الأمراض المعدية الآخرى"/>
    <s v="*الملاريا"/>
    <s v="بلاغ أولي"/>
    <x v="0"/>
    <s v="حالة منتهية لا تتطلب اجراء اضافي"/>
    <x v="23"/>
    <s v="المديرية العامة للشؤون الصحية في المدينة المنورة"/>
    <s v="المدينة المنورة"/>
    <s v="مستشفى الحرم الميداني"/>
    <s v="المديرية العامة للشؤون الصحية في المدينة المنورة"/>
    <s v="2003-09-25"/>
    <s v="21"/>
    <s v="ذكر"/>
    <x v="12"/>
    <s v="511898737"/>
    <s v="N/A"/>
    <s v="N/A"/>
    <s v="مفتوح"/>
    <s v="N/A"/>
    <s v="N/A"/>
    <s v="N/A"/>
    <s v="N/A"/>
    <s v="N/A"/>
    <s v="02-050-0468983"/>
    <s v="Sep  9 2025  6:06PM"/>
  </r>
  <r>
    <s v="أخرى"/>
    <s v="14826160"/>
    <s v="أكرم محمد محسن محسن"/>
    <s v="INV025335540"/>
    <x v="113"/>
    <x v="1"/>
    <s v="عالي"/>
    <s v="مجموعة عمل الأمراض المعدية الآخرى"/>
    <s v="*الملاريا"/>
    <s v="حالة"/>
    <x v="0"/>
    <s v="حالة منتهية لا تتطلب اجراء اضافي"/>
    <x v="0"/>
    <s v="المديرية العامة للشؤون الصحية في المدينة المنورة"/>
    <s v="المدينة المنورة"/>
    <s v="مركز صحي الهجرة للرعاية الصحية الأولية"/>
    <s v="المديرية العامة للشؤون الصحية في المدينة المنورة"/>
    <s v="2000-10-06"/>
    <s v="24"/>
    <s v="ذكر"/>
    <x v="7"/>
    <s v="537420921"/>
    <s v="N/A"/>
    <s v="N/A"/>
    <s v="مفتوح"/>
    <s v="N/A"/>
    <s v="N/A"/>
    <s v="N/A"/>
    <s v="حمى "/>
    <s v="Sep  1 2025 12:00AM"/>
    <s v="02-050-0469115"/>
    <s v="Sep 10 2025  8:24AM"/>
  </r>
  <r>
    <s v="مقيم"/>
    <s v="2453017499"/>
    <s v="شوكت علي بهول  فاتح محمد"/>
    <s v="INV025335545"/>
    <x v="113"/>
    <x v="1"/>
    <s v="متوسط"/>
    <s v="مجموعة عمل الأمراض المعدية الآخرى"/>
    <s v="*الملاريا"/>
    <s v="حالة"/>
    <x v="2"/>
    <s v="معلَق"/>
    <x v="5"/>
    <s v="المديرية العامة للشؤون الصحية في المدينة المنورة"/>
    <s v="المدينة المنورة"/>
    <s v="مستشفى الملك فهد بالمدينة المنورة"/>
    <s v="المديرية العامة للشؤون الصحية في المدينة المنورة"/>
    <s v="1976-02-01"/>
    <s v="49"/>
    <s v="ذكر"/>
    <x v="0"/>
    <s v="596149964"/>
    <s v="N/A"/>
    <s v="N/A"/>
    <s v="مفتوح"/>
    <s v="N/A"/>
    <s v="N/A"/>
    <s v="N/A"/>
    <s v="N/A"/>
    <s v="N/A"/>
    <s v="02-050-0469118"/>
    <s v="Sep 10 2025  8:26AM"/>
  </r>
  <r>
    <s v="مقيم"/>
    <s v="2474304561"/>
    <s v="عمر الامين محمد علي"/>
    <s v="INV025336777"/>
    <x v="114"/>
    <x v="1"/>
    <s v="عالي"/>
    <s v="مجموعة عمل الأمراض المعدية الآخرى"/>
    <s v="*الملاريا"/>
    <s v="حالة"/>
    <x v="0"/>
    <s v="تنويم"/>
    <x v="15"/>
    <s v="المديرية العامة للشؤون الصحية في المدينة المنورة"/>
    <s v="المدينة المنورة"/>
    <s v="مستشفى الامير عبدالمحسن بالعلا"/>
    <s v="المديرية العامة للشؤون الصحية في المدينة المنورة"/>
    <s v="1987-07-05"/>
    <s v="38"/>
    <s v="ذكر"/>
    <x v="2"/>
    <s v="557302395"/>
    <s v="N/A"/>
    <s v="N/A"/>
    <s v="مفتوح"/>
    <s v="N/A"/>
    <s v="N/A"/>
    <s v="N/A"/>
    <s v="N/A"/>
    <s v="N/A"/>
    <s v="02-050-0470267"/>
    <s v="Sep 11 2025 11:39AM"/>
  </r>
  <r>
    <s v="أخرى"/>
    <s v="hv5140393"/>
    <s v="SHIHNAZ   MOHAMMED"/>
    <s v="INV025337455"/>
    <x v="115"/>
    <x v="1"/>
    <s v="عالي جدًا - حاج من الخارج"/>
    <s v="مجموعة عمل الأمراض المعدية الآخرى"/>
    <s v="*الملاريا"/>
    <s v="حالة"/>
    <x v="0"/>
    <s v="تحت الإجراء"/>
    <x v="30"/>
    <s v="المديرية العامة للشؤون الصحية في المدينة المنورة"/>
    <s v="المدينة المنورة"/>
    <s v="شركة الدكتور حامد سليمان الأحمدي وشركاه المحدوده"/>
    <s v="المديرية العامة للشؤون الصحية في المدينة المنورة"/>
    <s v="1963-01-01"/>
    <s v="62"/>
    <s v="انثى"/>
    <x v="0"/>
    <s v="511838906"/>
    <s v="N/A"/>
    <s v="N/A"/>
    <s v="مفتوح"/>
    <s v="N/A"/>
    <s v="N/A"/>
    <s v="N/A"/>
    <s v="N/A"/>
    <s v="N/A"/>
    <s v="02-050-0470884,02-050-0470889"/>
    <s v="Sep 13 2025  3:26PM,Sep 13 2025  3:36PM"/>
  </r>
  <r>
    <s v="أخرى"/>
    <s v="2531808786"/>
    <s v="OMER IBRAHIM   HUSSEIN MOHA"/>
    <s v="INV025337736"/>
    <x v="116"/>
    <x v="0"/>
    <s v="عالي"/>
    <s v="مجموعة عمل الأمراض المعدية الآخرى"/>
    <s v="*الملاريا"/>
    <s v="حالة"/>
    <x v="3"/>
    <s v="تحت الإجراء"/>
    <x v="4"/>
    <s v="المديرية العامة للشؤون الصحية في المدينة المنورة"/>
    <s v="المدينة المنورة"/>
    <s v="مركز صحي العوالي للرعاية الصحية الأولية بالمدينة المنورة"/>
    <s v="المديرية العامة للشؤون الصحية في المدينة المنورة"/>
    <s v="1988-01-01"/>
    <s v="37"/>
    <s v="ذكر"/>
    <x v="2"/>
    <s v="545746589"/>
    <s v="N/A"/>
    <s v="N/A"/>
    <s v="مفتوح"/>
    <s v="N/A"/>
    <s v="N/A"/>
    <s v="N/A"/>
    <s v="Jaundice"/>
    <s v="Sep 14 2025 12:00AM"/>
    <s v="02-050-0471164,02-050-0471170"/>
    <s v="Sep 14 2025  9:25AM,Sep 14 2025  9:27AM"/>
  </r>
  <r>
    <s v="أخرى"/>
    <s v="5203581"/>
    <s v="سمينا   بيباي"/>
    <s v="INV025338196"/>
    <x v="116"/>
    <x v="1"/>
    <s v="عالي"/>
    <s v="مجموعة عمل الأمراض المعدية الآخرى"/>
    <s v="*الملاريا"/>
    <s v="حالة"/>
    <x v="0"/>
    <s v="معلَق"/>
    <x v="0"/>
    <s v="المديرية العامة للشؤون الصحية في المدينة المنورة"/>
    <s v="المدينة المنورة"/>
    <s v="مستشفى الميقات العام"/>
    <s v="المديرية العامة للشؤون الصحية في المدينة المنورة"/>
    <s v="1975-07-05"/>
    <s v="50"/>
    <s v="انثى"/>
    <x v="0"/>
    <s v="596579384"/>
    <s v="N/A"/>
    <s v="N/A"/>
    <s v="مفتوح"/>
    <s v="N/A"/>
    <s v="N/A"/>
    <s v="N/A"/>
    <s v="Vomiting,حمى "/>
    <s v="Sep  4 2025 12:00AM,Sep  4 2025 12:00AM"/>
    <s v="02-050-0471581"/>
    <s v="Sep 14 2025  1:14PM"/>
  </r>
  <r>
    <s v="أخرى"/>
    <s v="B02225081"/>
    <s v="HAWA MUKHTAR  SHESHE"/>
    <s v="INV025338682"/>
    <x v="116"/>
    <x v="2"/>
    <s v="عالي جدًا - معتمر من الخارج"/>
    <s v="مجموعة عمل الأمراض المعدية الآخرى"/>
    <s v="*الملاريا"/>
    <s v="حالة"/>
    <x v="2"/>
    <s v="تنويم"/>
    <x v="31"/>
    <s v="المديرية العامة للشؤون الصحية في المدينة المنورة"/>
    <s v="المدينة المنورة"/>
    <s v="مركز صحي باب جبريل للرعاية الصحية الأولية"/>
    <s v="المديرية العامة للشؤون الصحية في المدينة المنورة"/>
    <s v="1964-05-06"/>
    <s v="61"/>
    <s v="انثى"/>
    <x v="15"/>
    <s v="566486415"/>
    <s v="N/A"/>
    <s v="N/A"/>
    <s v="مفتوح"/>
    <s v="N/A"/>
    <s v="N/A"/>
    <s v="N/A"/>
    <s v="N/A"/>
    <s v="N/A"/>
    <s v="N/A"/>
    <s v="N/A"/>
  </r>
  <r>
    <s v="رقم حدود"/>
    <s v="3571092091"/>
    <s v="'-   -"/>
    <s v="INV025338901"/>
    <x v="117"/>
    <x v="2"/>
    <s v="متوسط"/>
    <s v="مجموعة عمل الأمراض المعدية الآخرى"/>
    <s v="*الملاريا"/>
    <s v="حالة"/>
    <x v="2"/>
    <s v="معلَق"/>
    <x v="32"/>
    <s v="المديرية العامة للشؤون الصحية في المدينة المنورة"/>
    <s v="المدينة المنورة"/>
    <s v="وحدة الأمراض المعدية"/>
    <s v="المديرية العامة للشؤون الصحية في المدينة المنورة"/>
    <s v="1998-07-25"/>
    <s v="27"/>
    <s v="انثى"/>
    <x v="26"/>
    <s v="545703600"/>
    <s v="N/A"/>
    <s v="N/A"/>
    <s v="مفتوح"/>
    <s v="N/A"/>
    <s v="N/A"/>
    <s v="N/A"/>
    <s v="صداع ,Fever&gt;= 38"/>
    <s v="Sep 15 2025 12:00AM,Sep 15 2025 12:00AM"/>
    <s v="02-050-0472229,02-050-0472235"/>
    <s v="Sep 15 2025 10:22AM,Sep 15 2025 10:25AM"/>
  </r>
  <r>
    <s v="مقيم"/>
    <s v="2149983815"/>
    <s v="سعيد الافندى حميد حامد"/>
    <s v="INV025339704"/>
    <x v="118"/>
    <x v="1"/>
    <s v="متوسط"/>
    <s v="مجموعة عمل الأمراض المعدية الآخرى"/>
    <s v="*الملاريا"/>
    <s v="حالة"/>
    <x v="2"/>
    <s v="تنويم"/>
    <x v="11"/>
    <s v="المديرية العامة للشؤون الصحية في المدينة المنورة"/>
    <s v="المدينة المنورة"/>
    <s v="مركز صحي تلعة نزا"/>
    <s v="المديرية العامة للشؤون الصحية في المدينة المنورة"/>
    <s v="1969-01-01"/>
    <s v="56"/>
    <s v="ذكر"/>
    <x v="2"/>
    <s v="509423837"/>
    <s v="N/A"/>
    <s v="N/A"/>
    <s v="مفتوح"/>
    <s v="N/A"/>
    <s v="N/A"/>
    <s v="N/A"/>
    <s v="N/A"/>
    <s v="N/A"/>
    <s v="02-050-0473056"/>
    <s v="Sep 16 2025  9:22AM"/>
  </r>
  <r>
    <s v="أخرى"/>
    <s v="2468759515"/>
    <s v="مصطفى احمد  البشير"/>
    <s v="INV025340019"/>
    <x v="118"/>
    <x v="0"/>
    <s v="عالي"/>
    <s v="مجموعة عمل الأمراض المعدية الآخرى"/>
    <s v="*الملاريا"/>
    <s v="حالة"/>
    <x v="2"/>
    <s v="معلَق"/>
    <x v="0"/>
    <s v="المديرية العامة للشؤون الصحية في المدينة المنورة"/>
    <s v="المدينة المنورة"/>
    <s v="مركز شوران للرعاية الصحية الأولية"/>
    <s v="المديرية العامة للشؤون الصحية في المدينة المنورة"/>
    <s v="1998-02-14"/>
    <s v="27"/>
    <s v="ذكر"/>
    <x v="2"/>
    <s v="596543415"/>
    <s v="N/A"/>
    <s v="N/A"/>
    <s v="مفتوح"/>
    <s v="N/A"/>
    <s v="N/A"/>
    <s v="N/A"/>
    <s v="N/A"/>
    <s v="N/A"/>
    <s v="02-050-0473415"/>
    <s v="Sep 16 2025  1:14PM"/>
  </r>
  <r>
    <s v="أخرى"/>
    <s v="P13221547"/>
    <s v="SATANA   OMAR"/>
    <s v="INV025340033"/>
    <x v="118"/>
    <x v="1"/>
    <s v="عالي جدًا - معتمر من الخارج"/>
    <s v="مجموعة عمل الأمراض المعدية الآخرى"/>
    <s v="*الملاريا"/>
    <s v="حالة"/>
    <x v="2"/>
    <s v="معلَق"/>
    <x v="0"/>
    <s v="المديرية العامة للشؤون الصحية في المدينة المنورة"/>
    <s v="المدينة المنورة"/>
    <s v="مركز عروة للرعاية الصحية الاولية"/>
    <s v="المديرية العامة للشؤون الصحية في المدينة المنورة"/>
    <s v="2003-07-13"/>
    <s v="22"/>
    <s v="انثى"/>
    <x v="2"/>
    <s v="542070419"/>
    <s v="N/A"/>
    <s v="N/A"/>
    <s v="مفتوح"/>
    <s v="N/A"/>
    <s v="N/A"/>
    <s v="N/A"/>
    <s v="N/A"/>
    <s v="N/A"/>
    <s v="02-050-0473421"/>
    <s v="Sep 16 2025  1:17PM"/>
  </r>
  <r>
    <s v="أخرى"/>
    <s v="AA7529761"/>
    <s v="TAJRIYAN SULTAN  MUHAMMAD"/>
    <s v="INV025340552"/>
    <x v="119"/>
    <x v="1"/>
    <s v="عالي جدًا - معتمر من الداخل"/>
    <s v="مجموعة عمل الأمراض المعدية الآخرى"/>
    <s v="*الملاريا"/>
    <s v="حالة"/>
    <x v="2"/>
    <s v="معلَق"/>
    <x v="23"/>
    <s v="المديرية العامة للشؤون الصحية في المدينة المنورة"/>
    <s v="المدينة المنورة"/>
    <s v="مستشفى الحرم الميداني"/>
    <s v="المديرية العامة للشؤون الصحية في المدينة المنورة"/>
    <s v="1957-01-01"/>
    <s v="68"/>
    <s v="انثى"/>
    <x v="0"/>
    <s v="578067898"/>
    <s v="N/A"/>
    <s v="N/A"/>
    <s v="مفتوح"/>
    <s v="N/A"/>
    <s v="N/A"/>
    <s v="N/A"/>
    <s v="N/A"/>
    <s v="N/A"/>
    <s v="02-050-0473922"/>
    <s v="Sep 17 2025  9:34AM"/>
  </r>
  <r>
    <s v="أخرى"/>
    <s v="6146998798"/>
    <s v="ارون   كومار"/>
    <s v="INV025340599"/>
    <x v="119"/>
    <x v="1"/>
    <s v="عالي"/>
    <s v="مجموعة عمل الأمراض المعدية الآخرى"/>
    <s v="*الملاريا"/>
    <s v="حالة"/>
    <x v="2"/>
    <s v="معلَق"/>
    <x v="11"/>
    <s v="المديرية العامة للشؤون الصحية في المدينة المنورة"/>
    <s v="المدينة المنورة"/>
    <s v="مركز الرعاية الصحية الأولية حي خالد للهيئة الملكية بينبع"/>
    <s v="المديرية العامة للشؤون الصحية في المدينة المنورة"/>
    <s v="1993-07-15"/>
    <s v="32"/>
    <s v="ذكر"/>
    <x v="12"/>
    <s v="504398008"/>
    <s v="N/A"/>
    <s v="N/A"/>
    <s v="مفتوح"/>
    <s v="N/A"/>
    <s v="N/A"/>
    <s v="N/A"/>
    <s v="N/A"/>
    <s v="N/A"/>
    <s v="02-050-0473965"/>
    <s v="Sep 17 2025  9:57AM"/>
  </r>
  <r>
    <s v="أخرى"/>
    <s v="O00641041"/>
    <s v="Thierno   Alseyni Yero"/>
    <s v="INV025340635"/>
    <x v="119"/>
    <x v="0"/>
    <s v="عالي"/>
    <s v="مجموعة عمل الأمراض المعدية الآخرى"/>
    <s v="*الملاريا"/>
    <s v="حالة"/>
    <x v="2"/>
    <s v="معلَق"/>
    <x v="0"/>
    <s v="المديرية العامة للشؤون الصحية في المدينة المنورة"/>
    <s v="المدينة المنورة"/>
    <s v="المركز الطبي الجامعي بالجامعة الاسلامية"/>
    <s v="المديرية العامة للشؤون الصحية في المدينة المنورة"/>
    <s v="2002-07-21"/>
    <s v="23"/>
    <s v="ذكر"/>
    <x v="16"/>
    <s v="539668192"/>
    <s v="N/A"/>
    <s v="N/A"/>
    <s v="مفتوح"/>
    <s v="N/A"/>
    <s v="N/A"/>
    <s v="N/A"/>
    <s v="N/A"/>
    <s v="N/A"/>
    <s v="02-050-0474006"/>
    <s v="Sep 17 2025 10:21AM"/>
  </r>
  <r>
    <s v="أخرى"/>
    <s v="CB1423111"/>
    <s v="Muhaammed   Idrees"/>
    <s v="INV025341120"/>
    <x v="119"/>
    <x v="1"/>
    <s v="عالي جدًا - معتمر من الخارج"/>
    <s v="مجموعة عمل الأمراض المعدية الآخرى"/>
    <s v="*الملاريا"/>
    <s v="حالة"/>
    <x v="2"/>
    <s v="تحت الإجراء"/>
    <x v="23"/>
    <s v="المديرية العامة للشؤون الصحية في المدينة المنورة"/>
    <s v="المدينة المنورة"/>
    <s v="مستشفى الحرم الميداني"/>
    <s v="المديرية العامة للشؤون الصحية في المدينة المنورة"/>
    <s v="2005-08-20"/>
    <s v="20"/>
    <s v="ذكر"/>
    <x v="0"/>
    <s v="551736818"/>
    <s v="N/A"/>
    <s v="N/A"/>
    <s v="مفتوح"/>
    <s v="N/A"/>
    <s v="N/A"/>
    <s v="N/A"/>
    <s v="N/A"/>
    <s v="N/A"/>
    <s v="02-050-0474660"/>
    <s v="Sep 18 2025  9:02AM"/>
  </r>
  <r>
    <s v="أخرى"/>
    <s v="613981129"/>
    <s v="الحسين مصطفى  الفقي"/>
    <s v="INV025341551"/>
    <x v="120"/>
    <x v="0"/>
    <s v="عالي"/>
    <s v="مجموعة عمل الأمراض المعدية الآخرى"/>
    <s v="*الملاريا"/>
    <s v="حالة"/>
    <x v="2"/>
    <s v="حالة منتهية لا تتطلب اجراء اضافي"/>
    <x v="0"/>
    <s v="المديرية العامة للشؤون الصحية في المدينة المنورة"/>
    <s v="المدينة المنورة"/>
    <s v="مستشفى الميقات العام"/>
    <s v="المديرية العامة للشؤون الصحية في المدينة المنورة"/>
    <s v="1994-01-01"/>
    <s v="31"/>
    <s v="ذكر"/>
    <x v="2"/>
    <s v="547149062"/>
    <s v="N/A"/>
    <s v="N/A"/>
    <s v="مفتوح"/>
    <s v="N/A"/>
    <s v="N/A"/>
    <s v="N/A"/>
    <s v="حمى ,صداع "/>
    <s v="Sep  8 2025 12:00AM,Sep  8 2025 12:00AM"/>
    <s v="02-050-0474976"/>
    <s v="Sep 18 2025 12:57PM"/>
  </r>
  <r>
    <s v="أخرى"/>
    <s v="A12784959"/>
    <s v="Maijidda   Bawa"/>
    <s v="INV025341863"/>
    <x v="120"/>
    <x v="0"/>
    <s v="عالي جدًا - معتمر من الخارج"/>
    <s v="مجموعة عمل الأمراض المعدية الآخرى"/>
    <s v="*الملاريا"/>
    <s v="حالة"/>
    <x v="2"/>
    <s v="تحت الإجراء"/>
    <x v="23"/>
    <s v="المديرية العامة للشؤون الصحية في المدينة المنورة"/>
    <s v="المدينة المنورة"/>
    <s v="مستشفى الحرم الميداني"/>
    <s v="المديرية العامة للشؤون الصحية في المدينة المنورة"/>
    <s v="2000-01-01"/>
    <s v="25"/>
    <s v="انثى"/>
    <x v="15"/>
    <s v="595113148"/>
    <s v="N/A"/>
    <s v="N/A"/>
    <s v="مفتوح"/>
    <s v="N/A"/>
    <s v="N/A"/>
    <s v="N/A"/>
    <s v="N/A"/>
    <s v="N/A"/>
    <s v="02-050-0475279"/>
    <s v="Sep 18 2025  8:34PM"/>
  </r>
  <r>
    <s v="مقيم"/>
    <s v="2055726612"/>
    <s v="أحمد جام محمد بخش البلوشي"/>
    <s v="INV025342011"/>
    <x v="121"/>
    <x v="1"/>
    <s v="عالي"/>
    <s v="مجموعة عمل الأمراض المعدية الآخرى"/>
    <s v="*الملاريا"/>
    <s v="حالة"/>
    <x v="0"/>
    <s v="تحت الإجراء"/>
    <x v="26"/>
    <s v="المديرية العامة للشؤون الصحية في المدينة المنورة"/>
    <s v="المدينة المنورة"/>
    <s v="مركز صحي العوالي للرعاية الصحية الأولية بالمدينة المنورة"/>
    <s v="المديرية العامة للشؤون الصحية في المدينة المنورة"/>
    <s v="1964-01-01"/>
    <s v="61"/>
    <s v="ذكر"/>
    <x v="0"/>
    <s v="557140071"/>
    <s v="N/A"/>
    <s v="N/A"/>
    <s v="مفتوح"/>
    <s v="N/A"/>
    <s v="N/A"/>
    <s v="N/A"/>
    <s v="N/A"/>
    <s v="N/A"/>
    <s v="02-050-0475372"/>
    <s v="Sep 20 2025  9:38AM"/>
  </r>
  <r>
    <s v="مقيم"/>
    <s v="2482168412"/>
    <s v="عبد الله على عبد الرحمن عبد الله"/>
    <s v="INV025342477"/>
    <x v="122"/>
    <x v="0"/>
    <s v="متوسط"/>
    <s v="مجموعة عمل الأمراض المعدية الآخرى"/>
    <s v="*الملاريا"/>
    <s v="حالة"/>
    <x v="2"/>
    <s v="معلَق"/>
    <x v="5"/>
    <s v="المديرية العامة للشؤون الصحية في المدينة المنورة"/>
    <s v="المدينة المنورة"/>
    <s v="ادارة مكافحة الامراض المعدية"/>
    <s v="المديرية العامة للشؤون الصحية في المدينة المنورة"/>
    <s v="1993-01-01"/>
    <s v="32"/>
    <s v="ذكر"/>
    <x v="2"/>
    <s v="556078246"/>
    <s v="N/A"/>
    <s v="N/A"/>
    <s v="مفتوح"/>
    <s v="N/A"/>
    <s v="N/A"/>
    <s v="N/A"/>
    <s v="N/A"/>
    <s v="N/A"/>
    <s v="02-050-0475731"/>
    <s v="Sep 21 2025  9:05AM"/>
  </r>
  <r>
    <s v="مقيم"/>
    <s v="2408154140"/>
    <s v="مبارك سعيد حنان الطيب"/>
    <s v="INV025343401"/>
    <x v="122"/>
    <x v="0"/>
    <s v="N/A"/>
    <s v="مجموعة عمل الأمراض المعدية الآخرى"/>
    <s v="*الملاريا"/>
    <s v="حالة"/>
    <x v="0"/>
    <s v="إحالة خارجية"/>
    <x v="33"/>
    <s v="المديرية العامة للشؤون الصحية في المدينة المنورة"/>
    <s v="المدينة المنورة"/>
    <s v="مستشفى الميقات العام"/>
    <s v="المديرية العامة للشؤون الصحية في المدينة المنورة"/>
    <s v="1992-01-01"/>
    <s v="33"/>
    <s v="ذكر"/>
    <x v="2"/>
    <s v="535430959"/>
    <s v="N/A"/>
    <s v="N/A"/>
    <s v="مفتوح"/>
    <s v="N/A"/>
    <s v="N/A"/>
    <s v="N/A"/>
    <s v="N/A"/>
    <s v="N/A"/>
    <s v="02-050-0476542"/>
    <s v="Sep 21 2025 10:23PM"/>
  </r>
  <r>
    <s v="أخرى"/>
    <s v="P11781674"/>
    <s v="AUM   ALLY BABKR ABDUL AZEE"/>
    <s v="INV025343443"/>
    <x v="123"/>
    <x v="0"/>
    <s v="عالي جدًا - معتمر من الخارج"/>
    <s v="مجموعة عمل الأمراض المعدية الآخرى"/>
    <s v="*الملاريا"/>
    <s v="حالة"/>
    <x v="3"/>
    <s v="تحت الإجراء"/>
    <x v="4"/>
    <s v="المديرية العامة للشؤون الصحية في المدينة المنورة"/>
    <s v="المدينة المنورة"/>
    <s v="مركز صحي الحرة الشرقية"/>
    <s v="المديرية العامة للشؤون الصحية في المدينة المنورة"/>
    <s v="1974-01-01"/>
    <s v="51"/>
    <s v="انثى"/>
    <x v="2"/>
    <s v="563286188"/>
    <s v="N/A"/>
    <s v="N/A"/>
    <s v="مفتوح"/>
    <s v="N/A"/>
    <s v="N/A"/>
    <s v="N/A"/>
    <s v="N/A"/>
    <s v="N/A"/>
    <s v="02-050-0476669,02-050-0476675"/>
    <s v="Sep 22 2025  9:11AM,Sep 22 2025  9:14AM"/>
  </r>
  <r>
    <s v="مقيم"/>
    <s v="2494899145"/>
    <s v="مالك عبدالله اسماعيل بخيت"/>
    <s v="INV025343685"/>
    <x v="123"/>
    <x v="0"/>
    <s v="متوسط"/>
    <s v="مجموعة عمل الأمراض المعدية الآخرى"/>
    <s v="*الملاريا"/>
    <s v="حالة"/>
    <x v="2"/>
    <s v="معلَق"/>
    <x v="5"/>
    <s v="المديرية العامة للشؤون الصحية في المدينة المنورة"/>
    <s v="المدينة المنورة"/>
    <s v="مركز صحي الحرة الشرقية"/>
    <s v="المديرية العامة للشؤون الصحية في المدينة المنورة"/>
    <s v="1963-01-01"/>
    <s v="62"/>
    <s v="ذكر"/>
    <x v="2"/>
    <s v="569957058"/>
    <s v="N/A"/>
    <s v="N/A"/>
    <s v="مفتوح"/>
    <s v="N/A"/>
    <s v="N/A"/>
    <s v="N/A"/>
    <s v="N/A"/>
    <s v="N/A"/>
    <s v="02-050-0476812"/>
    <s v="Sep 22 2025 10:20AM"/>
  </r>
  <r>
    <s v="أخرى"/>
    <s v="6997548"/>
    <s v="hanberi medad  abalulesa"/>
    <s v="INV025343690"/>
    <x v="123"/>
    <x v="2"/>
    <s v="عالي"/>
    <s v="مجموعة عمل الأمراض المعدية الآخرى"/>
    <s v="*الملاريا"/>
    <s v="حالة"/>
    <x v="2"/>
    <s v="تحت الإجراء"/>
    <x v="16"/>
    <s v="المديرية العامة للشؤون الصحية في المدينة المنورة"/>
    <s v="المدينة المنورة"/>
    <s v="المركز الطبي للهيئة الملكية بينبع"/>
    <s v="المديرية العامة للشؤون الصحية في المدينة المنورة"/>
    <s v="1997-07-17"/>
    <s v="28"/>
    <s v="انثى"/>
    <x v="1"/>
    <s v="533319914"/>
    <s v="N/A"/>
    <s v="N/A"/>
    <s v="مفتوح"/>
    <s v="N/A"/>
    <s v="N/A"/>
    <s v="N/A"/>
    <s v="N/A"/>
    <s v="N/A"/>
    <s v="02-050-0476826"/>
    <s v="Sep 22 2025 10:30AM"/>
  </r>
  <r>
    <s v="أخرى"/>
    <s v="614850607"/>
    <s v="خادم عبد الباقي  حامد"/>
    <s v="INV025343855"/>
    <x v="123"/>
    <x v="1"/>
    <s v="عالي"/>
    <s v="مجموعة عمل الأمراض المعدية الآخرى"/>
    <s v="*الملاريا"/>
    <s v="حالة"/>
    <x v="2"/>
    <s v="تنويم"/>
    <x v="0"/>
    <s v="المديرية العامة للشؤون الصحية في المدينة المنورة"/>
    <s v="المدينة المنورة"/>
    <s v="مستشفى الميقات العام"/>
    <s v="المديرية العامة للشؤون الصحية في المدينة المنورة"/>
    <s v="1962-02-25"/>
    <s v="63"/>
    <s v="انثى"/>
    <x v="2"/>
    <s v="554420874"/>
    <s v="N/A"/>
    <s v="N/A"/>
    <s v="مفتوح"/>
    <s v="N/A"/>
    <s v="N/A"/>
    <s v="N/A"/>
    <s v="N/A"/>
    <s v="N/A"/>
    <s v="02-050-0476956"/>
    <s v="Sep 22 2025 11:59AM"/>
  </r>
  <r>
    <s v="مقيم"/>
    <s v="2351178815"/>
    <s v="عبد الغني عيسى  اويارخوا"/>
    <s v="INV025343869"/>
    <x v="123"/>
    <x v="0"/>
    <s v="عالي"/>
    <s v="مجموعة عمل الأمراض المعدية الآخرى"/>
    <s v="*الملاريا"/>
    <s v="حالة"/>
    <x v="2"/>
    <s v="معلَق"/>
    <x v="0"/>
    <s v="المديرية العامة للشؤون الصحية في المدينة المنورة"/>
    <s v="المدينة المنورة"/>
    <s v="مركز صحي العزيزية"/>
    <s v="المديرية العامة للشؤون الصحية في المدينة المنورة"/>
    <s v="1975-03-11"/>
    <s v="50"/>
    <s v="ذكر"/>
    <x v="15"/>
    <s v="557828727"/>
    <s v="N/A"/>
    <s v="N/A"/>
    <s v="مفتوح"/>
    <s v="N/A"/>
    <s v="N/A"/>
    <s v="N/A"/>
    <s v="حمى "/>
    <s v="Sep  4 2025 12:00AM"/>
    <s v="02-050-0476969"/>
    <s v="Sep 22 2025 12:08PM"/>
  </r>
  <r>
    <s v="أخرى"/>
    <s v="6148971880"/>
    <s v="SHAHIDA   BIBI"/>
    <s v="INV025345215"/>
    <x v="124"/>
    <x v="1"/>
    <s v="عالي جدًا - معتمر من الخارج"/>
    <s v="مجموعة عمل الأمراض المعدية الآخرى"/>
    <s v="*الملاريا"/>
    <s v="حالة"/>
    <x v="0"/>
    <s v="إحالة خارجية"/>
    <x v="10"/>
    <s v="المديرية العامة للشؤون الصحية في المدينة المنورة"/>
    <s v="المدينة المنورة"/>
    <s v="قسم نواقل المرض والأمراض المشتركة بتجمع المدينة"/>
    <s v="المديرية العامة للشؤون الصحية في المدينة المنورة"/>
    <s v="1968-01-01"/>
    <s v="57"/>
    <s v="انثى"/>
    <x v="0"/>
    <s v="596819457"/>
    <s v="N/A"/>
    <s v="N/A"/>
    <s v="مفتوح"/>
    <s v="N/A"/>
    <s v="N/A"/>
    <s v="N/A"/>
    <s v=" intermittent Fever"/>
    <s v="Sep 22 2025 12:00AM"/>
    <s v="02-050-0478254,02-050-0478256"/>
    <s v="Sep 24 2025  1:20PM,Sep 24 2025  1:21PM"/>
  </r>
  <r>
    <s v="مواطن"/>
    <s v="1142558871"/>
    <s v="أحمد عقيل بن احمد العبدالوهاب"/>
    <s v="INV025345690"/>
    <x v="125"/>
    <x v="2"/>
    <s v="عالي"/>
    <s v="مجموعة عمل الأمراض المعدية الآخرى"/>
    <s v="*الملاريا"/>
    <s v="حالة"/>
    <x v="5"/>
    <s v="يوجد خطأ في ما تم إدخاله"/>
    <x v="4"/>
    <s v="المديرية العامة للشؤون الصحية في المدينة المنورة"/>
    <s v="المدينة المنورة"/>
    <s v="مركز صحي الحليلة للصحة العامة"/>
    <s v="مديرية الشؤون الصحية بمحافظة الإحساء"/>
    <s v="2008-05-28"/>
    <s v="17"/>
    <s v="ذكر"/>
    <x v="4"/>
    <s v="564889386"/>
    <s v="N/A"/>
    <s v="N/A"/>
    <s v="مغلق"/>
    <s v="N/A"/>
    <s v="N/A"/>
    <s v="N/A"/>
    <s v="N/A"/>
    <s v="N/A"/>
    <s v="N/A"/>
    <s v="N/A"/>
  </r>
  <r>
    <s v="أخرى"/>
    <s v="WF3107792"/>
    <s v="SHAHIBA   BIBI"/>
    <s v="INV025345704"/>
    <x v="125"/>
    <x v="2"/>
    <s v="عالي جدًا - معتمر من الخارج"/>
    <s v="مجموعة عمل الأمراض المعدية الآخرى"/>
    <s v="*الملاريا"/>
    <s v="حالة"/>
    <x v="2"/>
    <s v="تحت الإجراء"/>
    <x v="4"/>
    <s v="المديرية العامة للشؤون الصحية في المدينة المنورة"/>
    <s v="المدينة المنورة"/>
    <s v="مركز صحي الصافية"/>
    <s v="المديرية العامة للشؤون الصحية في المدينة المنورة"/>
    <s v="1968-01-01"/>
    <s v="57"/>
    <s v="انثى"/>
    <x v="0"/>
    <s v="539641609"/>
    <s v="N/A"/>
    <s v="N/A"/>
    <s v="مفتوح"/>
    <s v="N/A"/>
    <s v="N/A"/>
    <s v="N/A"/>
    <s v=" intermittent Fever"/>
    <s v="Sep 16 2025 12:00AM"/>
    <s v="02-050-0478761,02-050-0478763"/>
    <s v="Sep 25 2025  9:53AM,Sep 25 2025  9:54AM"/>
  </r>
  <r>
    <s v="أخرى"/>
    <s v="BA5792272"/>
    <s v="Lai Johar  Sani"/>
    <s v="INV025346412"/>
    <x v="126"/>
    <x v="1"/>
    <s v="عالي جدًا - معتمر من الخارج"/>
    <s v="مجموعة عمل الأمراض المعدية الآخرى"/>
    <s v="*الملاريا"/>
    <s v="حالة"/>
    <x v="0"/>
    <s v="حالة منتهية لا تتطلب اجراء اضافي"/>
    <x v="23"/>
    <s v="المديرية العامة للشؤون الصحية في المدينة المنورة"/>
    <s v="المدينة المنورة"/>
    <s v="مستشفى الملك فهد بالمدينة المنورة"/>
    <s v="المديرية العامة للشؤون الصحية في المدينة المنورة"/>
    <s v="1951-01-01"/>
    <s v="74"/>
    <s v="انثى"/>
    <x v="0"/>
    <s v="556471202"/>
    <s v="N/A"/>
    <s v="N/A"/>
    <s v="مفتوح"/>
    <s v="N/A"/>
    <s v="N/A"/>
    <s v="N/A"/>
    <s v="N/A"/>
    <s v="N/A"/>
    <s v="02-050-0479335,02-050-0479828"/>
    <s v="Sep 26 2025 11:50AM,Sep 28 2025  9:52AM"/>
  </r>
  <r>
    <s v="مقيم"/>
    <s v="2455806287"/>
    <s v="عمر محمد البشير محمد"/>
    <s v="INV025346615"/>
    <x v="127"/>
    <x v="0"/>
    <s v="متوسط"/>
    <s v="مجموعة عمل الأمراض المعدية الآخرى"/>
    <s v="*الملاريا"/>
    <s v="بلاغ أولي"/>
    <x v="2"/>
    <s v="بلاغ أولي"/>
    <x v="28"/>
    <s v="المديرية العامة للشؤون الصحية في المدينة المنورة"/>
    <s v="المدينة المنورة"/>
    <s v="مستشفى الحمنه العام"/>
    <s v="المديرية العامة للشؤون الصحية في المدينة المنورة"/>
    <s v="1990-01-26"/>
    <s v="35"/>
    <s v="ذكر"/>
    <x v="2"/>
    <s v="565462204"/>
    <s v="N/A"/>
    <s v="N/A"/>
    <s v="مفتوح"/>
    <s v="N/A"/>
    <s v="N/A"/>
    <s v="N/A"/>
    <s v="N/A"/>
    <s v="N/A"/>
    <s v="02-050-0479467"/>
    <s v="Sep 27 2025  1:11PM"/>
  </r>
  <r>
    <s v="أخرى"/>
    <s v="PL3127991"/>
    <s v="Gul Zameena  Bibi"/>
    <s v="INV025346780"/>
    <x v="128"/>
    <x v="1"/>
    <s v="عالي جدًا - معتمر من الخارج"/>
    <s v="مجموعة عمل الأمراض المعدية الآخرى"/>
    <s v="*الملاريا"/>
    <s v="حالة"/>
    <x v="0"/>
    <s v="حالة منتهية لا تتطلب اجراء اضافي"/>
    <x v="23"/>
    <s v="المديرية العامة للشؤون الصحية في المدينة المنورة"/>
    <s v="المدينة المنورة"/>
    <s v="مستشفى الحرم الميداني"/>
    <s v="المديرية العامة للشؤون الصحية في المدينة المنورة"/>
    <s v="1991-01-01"/>
    <s v="34"/>
    <s v="انثى"/>
    <x v="0"/>
    <s v="597484208"/>
    <s v="N/A"/>
    <s v="N/A"/>
    <s v="مفتوح"/>
    <s v="N/A"/>
    <s v="N/A"/>
    <s v="N/A"/>
    <s v="N/A"/>
    <s v="N/A"/>
    <s v="02-050-0479600,02-050-0479832"/>
    <s v="Sep 28 2025  2:22AM,Sep 28 2025  9:54AM"/>
  </r>
  <r>
    <s v="مقيم"/>
    <s v="2607926801"/>
    <s v="حبيب محمد ابراهيم كامبراني"/>
    <s v="INV025346818"/>
    <x v="128"/>
    <x v="1"/>
    <s v="عالي"/>
    <s v="مجموعة عمل الأمراض المعدية الآخرى"/>
    <s v="*الملاريا"/>
    <s v="حالة"/>
    <x v="3"/>
    <s v="تحت الإجراء"/>
    <x v="4"/>
    <s v="المديرية العامة للشؤون الصحية في المدينة المنورة"/>
    <s v="المدينة المنورة"/>
    <s v="مركز صحي الحزام"/>
    <s v="المديرية العامة للشؤون الصحية في المدينة المنورة"/>
    <s v="1993-01-01"/>
    <s v="32"/>
    <s v="ذكر"/>
    <x v="0"/>
    <s v="574687750"/>
    <s v="N/A"/>
    <s v="N/A"/>
    <s v="مفتوح"/>
    <s v="N/A"/>
    <s v="N/A"/>
    <s v="N/A"/>
    <s v="N/A"/>
    <s v="N/A"/>
    <s v="02-050-0479733,02-050-0479740"/>
    <s v="Sep 28 2025  8:56AM,Sep 28 2025  9:00AM"/>
  </r>
  <r>
    <s v="مقيم"/>
    <s v="2017322690"/>
    <s v="احمد خان عبدالله خان"/>
    <s v="INV025346822"/>
    <x v="128"/>
    <x v="1"/>
    <s v="عالي"/>
    <s v="مجموعة عمل الأمراض المعدية الآخرى"/>
    <s v="*الملاريا"/>
    <s v="حالة"/>
    <x v="3"/>
    <s v="تحت الإجراء"/>
    <x v="4"/>
    <s v="المديرية العامة للشؤون الصحية في المدينة المنورة"/>
    <s v="المدينة المنورة"/>
    <s v="مركز وعيرة للرعاية الصحية الاولية"/>
    <s v="المديرية العامة للشؤون الصحية في المدينة المنورة"/>
    <s v="1950-06-13"/>
    <s v="75"/>
    <s v="ذكر"/>
    <x v="0"/>
    <s v="593048840"/>
    <s v="N/A"/>
    <s v="N/A"/>
    <s v="مفتوح"/>
    <s v="N/A"/>
    <s v="N/A"/>
    <s v="N/A"/>
    <s v="N/A"/>
    <s v="N/A"/>
    <s v="02-050-0479724,02-050-0479728"/>
    <s v="Sep 28 2025  8:51AM,Sep 28 2025  8:55AM"/>
  </r>
  <r>
    <s v="أخرى"/>
    <s v="B51629100"/>
    <s v="MOHAMMED   ALAA"/>
    <s v="INV025347219"/>
    <x v="128"/>
    <x v="0"/>
    <s v="عالي جدًا - معتمر من الخارج"/>
    <s v="مجموعة عمل الأمراض المعدية الآخرى"/>
    <s v="*الملاريا"/>
    <s v="بلاغ أولي"/>
    <x v="2"/>
    <s v="تنويم"/>
    <x v="25"/>
    <s v="المديرية العامة للشؤون الصحية في المدينة المنورة"/>
    <s v="المدينة المنورة"/>
    <s v="مستشفى الحياة الوطنى بالمدينة"/>
    <s v="المديرية العامة للشؤون الصحية في المدينة المنورة"/>
    <s v="1982-06-14"/>
    <s v="43"/>
    <s v="ذكر"/>
    <x v="15"/>
    <s v="548272236"/>
    <s v="N/A"/>
    <s v="N/A"/>
    <s v="مفتوح"/>
    <s v="N/A"/>
    <s v="N/A"/>
    <s v="N/A"/>
    <s v="N/A"/>
    <s v="N/A"/>
    <s v="02-050-0479961"/>
    <s v="Sep 28 2025 10:54AM"/>
  </r>
  <r>
    <s v="أخرى"/>
    <s v="6143288173"/>
    <s v="فوزية راتو  كيكي"/>
    <s v="INV025347649"/>
    <x v="128"/>
    <x v="1"/>
    <s v="عالي"/>
    <s v="مجموعة عمل الأمراض المعدية الآخرى"/>
    <s v="*الملاريا"/>
    <s v="حالة"/>
    <x v="2"/>
    <s v="معلَق"/>
    <x v="0"/>
    <s v="المديرية العامة للشؤون الصحية في المدينة المنورة"/>
    <s v="المدينة المنورة"/>
    <s v="مستشفى الميقات العام"/>
    <s v="المديرية العامة للشؤون الصحية في المدينة المنورة"/>
    <s v="1999-09-27"/>
    <s v="26"/>
    <s v="انثى"/>
    <x v="27"/>
    <s v="551590791"/>
    <s v="N/A"/>
    <s v="N/A"/>
    <s v="مفتوح"/>
    <s v="N/A"/>
    <s v="N/A"/>
    <s v="N/A"/>
    <s v="N/A"/>
    <s v="N/A"/>
    <s v="02-050-0480347"/>
    <s v="Sep 28 2025  2:02PM"/>
  </r>
  <r>
    <s v="مقيم"/>
    <s v="2490518020"/>
    <s v="عابد الله مبين خان"/>
    <s v="INV025347707"/>
    <x v="128"/>
    <x v="1"/>
    <s v="عالي"/>
    <s v="مجموعة عمل الأمراض المعدية الآخرى"/>
    <s v="*الملاريا"/>
    <s v="حالة"/>
    <x v="2"/>
    <s v="تنويم"/>
    <x v="0"/>
    <s v="المديرية العامة للشؤون الصحية في المدينة المنورة"/>
    <s v="المدينة المنورة"/>
    <s v="مركز رعاية صحية أولية الضميرية"/>
    <s v="المديرية العامة للشؤون الصحية في المدينة المنورة"/>
    <s v="1996-01-01"/>
    <s v="29"/>
    <s v="ذكر"/>
    <x v="0"/>
    <s v="504254902"/>
    <s v="N/A"/>
    <s v="N/A"/>
    <s v="مفتوح"/>
    <s v="N/A"/>
    <s v="N/A"/>
    <s v="N/A"/>
    <s v="N/A"/>
    <s v="N/A"/>
    <s v="02-050-0480383"/>
    <s v="Sep 28 2025  2:30PM"/>
  </r>
  <r>
    <s v="مقيم"/>
    <s v="2604965042"/>
    <s v="امينات   يمر"/>
    <s v="INV025348911"/>
    <x v="129"/>
    <x v="1"/>
    <s v="عالي"/>
    <s v="مجموعة عمل الأمراض المعدية الآخرى"/>
    <s v="*الملاريا"/>
    <s v="حالة"/>
    <x v="2"/>
    <s v="تحت الإجراء"/>
    <x v="4"/>
    <s v="المديرية العامة للشؤون الصحية في المدينة المنورة"/>
    <s v="المدينة المنورة"/>
    <s v="مركز صحي حي الملك فهد بالمدينة المنورة"/>
    <s v="المديرية العامة للشؤون الصحية في المدينة المنورة"/>
    <s v="2000-01-19"/>
    <s v="25"/>
    <s v="انثى"/>
    <x v="1"/>
    <s v="507724405"/>
    <s v="N/A"/>
    <s v="N/A"/>
    <s v="مفتوح"/>
    <s v="N/A"/>
    <s v="N/A"/>
    <s v="N/A"/>
    <s v=" intermittent Fever"/>
    <s v="Sep 28 2025 12:00AM"/>
    <s v="02-050-0481621,02-050-0481622"/>
    <s v="Sep 30 2025  7:51AM,Sep 30 2025  7:52AM"/>
  </r>
  <r>
    <s v="أخرى"/>
    <s v="EQ1109985"/>
    <s v="WELALA MOHAMMED MOHAMMED MOHAMMED"/>
    <s v="INV025348991"/>
    <x v="129"/>
    <x v="1"/>
    <s v="عالي"/>
    <s v="مجموعة عمل الأمراض المعدية الآخرى"/>
    <s v="*الملاريا"/>
    <s v="حالة"/>
    <x v="2"/>
    <s v="معلَق"/>
    <x v="11"/>
    <s v="المديرية العامة للشؤون الصحية في المدينة المنورة"/>
    <s v="المدينة المنورة"/>
    <s v="مركز صحي الشرقية"/>
    <s v="المديرية العامة للشؤون الصحية في المدينة المنورة"/>
    <s v="2003-01-14"/>
    <s v="22"/>
    <s v="انثى"/>
    <x v="1"/>
    <s v="563532348"/>
    <s v="N/A"/>
    <s v="N/A"/>
    <s v="مفتوح"/>
    <s v="N/A"/>
    <s v="N/A"/>
    <s v="N/A"/>
    <s v="N/A"/>
    <s v="N/A"/>
    <s v="02-050-0481695"/>
    <s v="Sep 30 2025  8:54AM"/>
  </r>
  <r>
    <s v="أخرى"/>
    <s v="B04142387"/>
    <s v="حبابه الهاشم  الهاشم"/>
    <s v="INV025351179"/>
    <x v="130"/>
    <x v="0"/>
    <s v="عالي"/>
    <s v="مجموعة عمل الأمراض المعدية الآخرى"/>
    <s v="*الملاريا"/>
    <s v="حالة"/>
    <x v="2"/>
    <s v="معلَق"/>
    <x v="0"/>
    <s v="المديرية العامة للشؤون الصحية في المدينة المنورة"/>
    <s v="المدينة المنورة"/>
    <s v="مستشفى الميقات العام"/>
    <s v="المديرية العامة للشؤون الصحية في المدينة المنورة"/>
    <s v="2008-03-08"/>
    <s v="17"/>
    <s v="انثى"/>
    <x v="27"/>
    <s v="542628361"/>
    <s v="N/A"/>
    <s v="N/A"/>
    <s v="مفتوح"/>
    <s v="N/A"/>
    <s v="N/A"/>
    <s v="N/A"/>
    <s v="N/A"/>
    <s v="N/A"/>
    <s v="02-050-0483852"/>
    <s v="Oct  2 2025  1:28PM"/>
  </r>
  <r>
    <s v="مقيم"/>
    <s v="2492990680"/>
    <s v="فائز محمد الباقر الطاهر"/>
    <s v="INV025351935"/>
    <x v="131"/>
    <x v="0"/>
    <s v="عالي"/>
    <s v="مجموعة عمل الأمراض المعدية الآخرى"/>
    <s v="*الملاريا"/>
    <s v="حالة"/>
    <x v="0"/>
    <s v="نقل داخلي"/>
    <x v="26"/>
    <s v="المديرية العامة للشؤون الصحية في المدينة المنورة"/>
    <s v="المدينة المنورة"/>
    <s v="مركز صحي العوالي للرعاية الصحية الأولية بالمدينة المنورة"/>
    <s v="المديرية العامة للشؤون الصحية في المدينة المنورة"/>
    <s v="1998-01-01"/>
    <s v="27"/>
    <s v="ذكر"/>
    <x v="2"/>
    <s v="569809192"/>
    <s v="N/A"/>
    <s v="N/A"/>
    <s v="مفتوح"/>
    <s v="N/A"/>
    <s v="N/A"/>
    <s v="N/A"/>
    <s v="N/A"/>
    <s v="N/A"/>
    <s v="02-050-0484389"/>
    <s v="Oct  4 2025  7:39PM"/>
  </r>
  <r>
    <s v="أخرى"/>
    <s v="6149763402"/>
    <s v="عاتقه   اداما"/>
    <s v="INV025351986"/>
    <x v="132"/>
    <x v="0"/>
    <s v="عالي جدًا - معتمر من الخارج"/>
    <s v="مجموعة عمل الأمراض المعدية الآخرى"/>
    <s v="*الملاريا"/>
    <s v="حالة"/>
    <x v="2"/>
    <s v="بلاغ أولي"/>
    <x v="23"/>
    <s v="المديرية العامة للشؤون الصحية في المدينة المنورة"/>
    <s v="المدينة المنورة"/>
    <s v="مستشفى الحرم الميداني"/>
    <s v="المديرية العامة للشؤون الصحية في المدينة المنورة"/>
    <s v="2013-03-25"/>
    <s v="12"/>
    <s v="انثى"/>
    <x v="15"/>
    <s v="548465272"/>
    <s v="N/A"/>
    <s v="N/A"/>
    <s v="مفتوح"/>
    <s v="N/A"/>
    <s v="N/A"/>
    <s v="N/A"/>
    <s v="N/A"/>
    <s v="N/A"/>
    <s v="02-050-0484429"/>
    <s v="Oct  5 2025 12:49AM"/>
  </r>
  <r>
    <s v="أخرى"/>
    <s v="لا50529573"/>
    <s v="أسماء ساليس  عمر"/>
    <s v="INV025352773"/>
    <x v="132"/>
    <x v="0"/>
    <s v="عالي جدًا - معتمر من الخارج"/>
    <s v="مجموعة عمل الأمراض المعدية الآخرى"/>
    <s v="*الملاريا"/>
    <s v="حالة"/>
    <x v="0"/>
    <s v="معلَق"/>
    <x v="5"/>
    <s v="المديرية العامة للشؤون الصحية في المدينة المنورة"/>
    <s v="المدينة المنورة"/>
    <s v="مركز صحي باب المجيدي الدائم"/>
    <s v="المديرية العامة للشؤون الصحية في المدينة المنورة"/>
    <s v="1968-05-15"/>
    <s v="57"/>
    <s v="انثى"/>
    <x v="15"/>
    <s v="7042808099"/>
    <s v="N/A"/>
    <s v="N/A"/>
    <s v="مفتوح"/>
    <s v="N/A"/>
    <s v="N/A"/>
    <s v="N/A"/>
    <s v="N/A"/>
    <s v="N/A"/>
    <s v="02-050-0485086"/>
    <s v="Oct  5 2025  1:47PM"/>
  </r>
  <r>
    <s v="مقيم"/>
    <s v="2440722151"/>
    <s v="عبدالاله بابكر عبدالله عبدالرحيم"/>
    <s v="INV025353219"/>
    <x v="133"/>
    <x v="0"/>
    <s v="عالي"/>
    <s v="مجموعة عمل الأمراض المعدية الآخرى"/>
    <s v="*الملاريا"/>
    <s v="حالة"/>
    <x v="0"/>
    <s v="تنويم"/>
    <x v="0"/>
    <s v="المديرية العامة للشؤون الصحية في المدينة المنورة"/>
    <s v="المدينة المنورة"/>
    <s v="مركز شوران للرعاية الصحية الأولية"/>
    <s v="المديرية العامة للشؤون الصحية في المدينة المنورة"/>
    <s v="1988-01-01"/>
    <s v="37"/>
    <s v="ذكر"/>
    <x v="2"/>
    <s v="566636274"/>
    <s v="N/A"/>
    <s v="N/A"/>
    <s v="مفتوح"/>
    <s v="N/A"/>
    <s v="N/A"/>
    <s v="N/A"/>
    <s v="N/A"/>
    <s v="N/A"/>
    <s v="02-050-0485506"/>
    <s v="Oct  6 2025  8:16AM"/>
  </r>
  <r>
    <s v="مقيم"/>
    <s v="2502201250"/>
    <s v="عامر محمد علي محمد احمد"/>
    <s v="INV025353263"/>
    <x v="133"/>
    <x v="0"/>
    <s v="عالي"/>
    <s v="مجموعة عمل الأمراض المعدية الآخرى"/>
    <s v="*الملاريا"/>
    <s v="حالة"/>
    <x v="0"/>
    <s v="تنويم"/>
    <x v="0"/>
    <s v="المديرية العامة للشؤون الصحية في المدينة المنورة"/>
    <s v="المدينة المنورة"/>
    <s v="مركز صحي الهجرة للرعاية الصحية الأولية"/>
    <s v="المديرية العامة للشؤون الصحية في المدينة المنورة"/>
    <s v="1992-01-01"/>
    <s v="33"/>
    <s v="ذكر"/>
    <x v="2"/>
    <s v="530649474"/>
    <s v="N/A"/>
    <s v="N/A"/>
    <s v="مفتوح"/>
    <s v="N/A"/>
    <s v="N/A"/>
    <s v="N/A"/>
    <s v="N/A"/>
    <s v="N/A"/>
    <s v="02-050-0485566"/>
    <s v="Oct  6 2025  8:44AM"/>
  </r>
  <r>
    <s v="مقيم"/>
    <s v="2506127576"/>
    <s v="الخير على بله ابراهيم"/>
    <s v="INV025353386"/>
    <x v="133"/>
    <x v="0"/>
    <s v="منخفض"/>
    <s v="مجموعة عمل الأمراض المعدية الآخرى"/>
    <s v="*الملاريا"/>
    <s v="حالة"/>
    <x v="0"/>
    <s v="تحت الإجراء"/>
    <x v="17"/>
    <s v="المديرية العامة للشؤون الصحية في المدينة المنورة"/>
    <s v="المدينة المنورة"/>
    <s v="مستشفى الحناكية العام"/>
    <s v="المديرية العامة للشؤون الصحية في المدينة المنورة"/>
    <s v="1990-01-01"/>
    <s v="35"/>
    <s v="ذكر"/>
    <x v="2"/>
    <s v="560275404"/>
    <s v="N/A"/>
    <s v="N/A"/>
    <s v="مفتوح"/>
    <s v="N/A"/>
    <s v="N/A"/>
    <s v="N/A"/>
    <s v="N/A"/>
    <s v="N/A"/>
    <s v="02-050-0485715,02-050-0485722"/>
    <s v="Oct  6 2025  9:48AM,Oct  6 2025  9:52AM"/>
  </r>
  <r>
    <s v="أخرى"/>
    <s v="us2741281"/>
    <s v="WALI ULLAH   AHMAD DIN"/>
    <s v="INV025354094"/>
    <x v="133"/>
    <x v="1"/>
    <s v="عالي جدًا - معتمر من الخارج"/>
    <s v="مجموعة عمل الأمراض المعدية الآخرى"/>
    <s v="*الملاريا"/>
    <s v="حالة"/>
    <x v="0"/>
    <s v="حالة منتهية لا تتطلب اجراء اضافي"/>
    <x v="23"/>
    <s v="المديرية العامة للشؤون الصحية في المدينة المنورة"/>
    <s v="المدينة المنورة"/>
    <s v="مستشفى الحرم الميداني"/>
    <s v="المديرية العامة للشؤون الصحية في المدينة المنورة"/>
    <s v="1984-01-01"/>
    <s v="41"/>
    <s v="ذكر"/>
    <x v="0"/>
    <s v="559305740"/>
    <s v="N/A"/>
    <s v="N/A"/>
    <s v="مفتوح"/>
    <s v="N/A"/>
    <s v="N/A"/>
    <s v="N/A"/>
    <s v="N/A"/>
    <s v="N/A"/>
    <s v="02-050-0486475"/>
    <s v="Oct  7 2025  7:41AM"/>
  </r>
  <r>
    <s v="مقيم"/>
    <s v="2497578126"/>
    <s v="سيف الدين محمد موسى محمد"/>
    <s v="INV025354774"/>
    <x v="134"/>
    <x v="0"/>
    <s v="عالي"/>
    <s v="مجموعة عمل الأمراض المعدية الآخرى"/>
    <s v="*الملاريا"/>
    <s v="حالة"/>
    <x v="2"/>
    <s v="معلَق"/>
    <x v="0"/>
    <s v="المديرية العامة للشؤون الصحية في المدينة المنورة"/>
    <s v="المدينة المنورة"/>
    <s v="مركز شوران للرعاية الصحية الأولية"/>
    <s v="المديرية العامة للشؤون الصحية في المدينة المنورة"/>
    <s v="1992-01-01"/>
    <s v="33"/>
    <s v="ذكر"/>
    <x v="2"/>
    <s v="502726425"/>
    <s v="N/A"/>
    <s v="N/A"/>
    <s v="مفتوح"/>
    <s v="N/A"/>
    <s v="N/A"/>
    <s v="N/A"/>
    <s v="N/A"/>
    <s v="N/A"/>
    <s v="02-050-0487038"/>
    <s v="Oct  7 2025  1:33PM"/>
  </r>
  <r>
    <s v="أخرى"/>
    <s v="B02219645"/>
    <s v="SAADATU ABDULLAHI  ABDULLAHI"/>
    <s v="INV025354809"/>
    <x v="134"/>
    <x v="0"/>
    <s v="عالي جدًا - معتمر من الخارج"/>
    <s v="مجموعة عمل الأمراض المعدية الآخرى"/>
    <s v="*الملاريا"/>
    <s v="حالة"/>
    <x v="0"/>
    <s v="تنويم"/>
    <x v="31"/>
    <s v="المديرية العامة للشؤون الصحية في المدينة المنورة"/>
    <s v="المدينة المنورة"/>
    <s v="وحدة الأمراض المعدية"/>
    <s v="المديرية العامة للشؤون الصحية في المدينة المنورة"/>
    <s v="1950-01-21"/>
    <s v="75"/>
    <s v="انثى"/>
    <x v="15"/>
    <s v="553895823"/>
    <s v="N/A"/>
    <s v="N/A"/>
    <s v="مفتوح"/>
    <s v="N/A"/>
    <s v="N/A"/>
    <s v="N/A"/>
    <s v="Vomiting,Fever&gt;= 38,intense headache"/>
    <s v="Oct  6 2025 12:00AM,Oct  5 2025 12:00AM,Oct  5 2025 12:00AM"/>
    <s v="02-050-0487073,02-050-0487077"/>
    <s v="Oct  7 2025  1:56PM,Oct  7 2025  2:01PM"/>
  </r>
  <r>
    <s v="أخرى"/>
    <s v="BO4433142"/>
    <s v="Atika Adamu  Adamu"/>
    <s v="INV025355043"/>
    <x v="134"/>
    <x v="7"/>
    <s v="عالي جدًا - معتمر من الخارج"/>
    <s v="مجموعة عمل الأمراض المعدية الآخرى"/>
    <s v="*الملاريا"/>
    <s v="حالة"/>
    <x v="0"/>
    <s v="تنويم"/>
    <x v="31"/>
    <s v="المديرية العامة للشؤون الصحية في المدينة المنورة"/>
    <s v="المدينة المنورة"/>
    <s v="وحدة الأمراض المعدية"/>
    <s v="المديرية العامة للشؤون الصحية في المدينة المنورة"/>
    <s v="2013-03-25"/>
    <s v="12"/>
    <s v="انثى"/>
    <x v="15"/>
    <s v="545781085"/>
    <s v="N/A"/>
    <s v="N/A"/>
    <s v="مفتوح"/>
    <s v="N/A"/>
    <s v="N/A"/>
    <s v="N/A"/>
    <s v="N/A"/>
    <s v="N/A"/>
    <s v="02-050-0487300,02-050-0487305"/>
    <s v="Oct  7 2025  5:52PM,Oct  7 2025  5:55PM"/>
  </r>
  <r>
    <s v="أخرى"/>
    <s v="EQ1393419"/>
    <s v="MEDINA   SHEWMOLO SHOR"/>
    <s v="INV025355182"/>
    <x v="135"/>
    <x v="0"/>
    <s v="عالي"/>
    <s v="مجموعة عمل الأمراض المعدية الآخرى"/>
    <s v="*الملاريا"/>
    <s v="حالة"/>
    <x v="0"/>
    <s v="تحت الإجراء"/>
    <x v="4"/>
    <s v="المديرية العامة للشؤون الصحية في المدينة المنورة"/>
    <s v="المدينة المنورة"/>
    <s v="مركز صحي باقدو الدويخلة للرعاية الصحية الأولية"/>
    <s v="المديرية العامة للشؤون الصحية في المدينة المنورة"/>
    <s v="1998-10-22"/>
    <s v="26"/>
    <s v="انثى"/>
    <x v="1"/>
    <s v="540098981"/>
    <s v="N/A"/>
    <s v="N/A"/>
    <s v="مفتوح"/>
    <s v="N/A"/>
    <s v="N/A"/>
    <s v="N/A"/>
    <s v="N/A"/>
    <s v="N/A"/>
    <s v="02-050-0487450,02-050-0487453"/>
    <s v="Oct  8 2025  8:22AM,Oct  8 2025  8:23AM"/>
  </r>
  <r>
    <s v="أخرى"/>
    <s v="P09570244"/>
    <s v="HESHAM AWAD   ALLA MOHAMMED"/>
    <s v="INV025355198"/>
    <x v="135"/>
    <x v="0"/>
    <s v="عالي جدًا – سائح"/>
    <s v="مجموعة عمل الأمراض المعدية الآخرى"/>
    <s v="*الملاريا"/>
    <s v="حالة"/>
    <x v="0"/>
    <s v="تحت الإجراء"/>
    <x v="4"/>
    <s v="المديرية العامة للشؤون الصحية في المدينة المنورة"/>
    <s v="المدينة المنورة"/>
    <s v="مركز صحي باب جبريل للرعاية الصحية الأولية"/>
    <s v="المديرية العامة للشؤون الصحية في المدينة المنورة"/>
    <s v="1982-09-17"/>
    <s v="43"/>
    <s v="ذكر"/>
    <x v="2"/>
    <s v="550315881"/>
    <s v="N/A"/>
    <s v="N/A"/>
    <s v="مفتوح"/>
    <s v="N/A"/>
    <s v="N/A"/>
    <s v="N/A"/>
    <s v="N/A"/>
    <s v="N/A"/>
    <s v="02-050-0487442,02-050-0487445"/>
    <s v="Oct  8 2025  8:17AM,Oct  8 2025  8:19AM"/>
  </r>
  <r>
    <s v="مقيم"/>
    <s v="2498040324"/>
    <s v="عبدالقادر الامام عبدالقادر عبدالله"/>
    <s v="INV025355304"/>
    <x v="135"/>
    <x v="0"/>
    <s v="متوسط"/>
    <s v="مجموعة عمل الأمراض المعدية الآخرى"/>
    <s v="*الملاريا"/>
    <s v="حالة"/>
    <x v="0"/>
    <s v="تنويم"/>
    <x v="24"/>
    <s v="المديرية العامة للشؤون الصحية في المدينة المنورة"/>
    <s v="المدينة المنورة"/>
    <s v="مركز الرعاية الصحية الآولية بالعيص"/>
    <s v="المديرية العامة للشؤون الصحية في المدينة المنورة"/>
    <s v="2000-01-01"/>
    <s v="25"/>
    <s v="ذكر"/>
    <x v="2"/>
    <s v="583569107"/>
    <s v="N/A"/>
    <s v="N/A"/>
    <s v="مفتوح"/>
    <s v="N/A"/>
    <s v="N/A"/>
    <s v="N/A"/>
    <s v="N/A"/>
    <s v="N/A"/>
    <s v="02-050-0487597"/>
    <s v="Oct  8 2025  9:33AM"/>
  </r>
  <r>
    <s v="مقيم"/>
    <s v="2531045959"/>
    <s v="محمد عبد الله بشاره حميده"/>
    <s v="INV025356610"/>
    <x v="136"/>
    <x v="0"/>
    <s v="منخفض"/>
    <s v="مجموعة عمل الأمراض المعدية الآخرى"/>
    <s v="*الملاريا"/>
    <s v="بلاغ أولي"/>
    <x v="2"/>
    <s v="تنويم"/>
    <x v="3"/>
    <s v="المديرية العامة للشؤون الصحية في المدينة المنورة"/>
    <s v="المدينة المنورة"/>
    <s v="مستشفى خيبر العام"/>
    <s v="المديرية العامة للشؤون الصحية في المدينة المنورة"/>
    <s v="1995-01-01"/>
    <s v="30"/>
    <s v="ذكر"/>
    <x v="2"/>
    <s v="593983719"/>
    <s v="N/A"/>
    <s v="N/A"/>
    <s v="مفتوح"/>
    <s v="N/A"/>
    <s v="N/A"/>
    <s v="N/A"/>
    <s v="N/A"/>
    <s v="N/A"/>
    <s v="02-050-0488886"/>
    <s v="Oct  9 2025 12:53PM"/>
  </r>
  <r>
    <s v="مقيم"/>
    <s v="2147606889"/>
    <s v="عيسي عمر  محمد"/>
    <s v="INV025356612"/>
    <x v="136"/>
    <x v="2"/>
    <s v="متوسط"/>
    <s v="مجموعة عمل الأمراض المعدية الآخرى"/>
    <s v="*الملاريا"/>
    <s v="حالة"/>
    <x v="0"/>
    <s v="تحت الإجراء"/>
    <x v="30"/>
    <s v="المديرية العامة للشؤون الصحية في المدينة المنورة"/>
    <s v="المدينة المنورة"/>
    <s v="شركة الدكتور حامد سليمان الأحمدي وشركاه المحدوده"/>
    <s v="المديرية العامة للشؤون الصحية في المدينة المنورة"/>
    <s v="1986-09-05"/>
    <s v="39"/>
    <s v="ذكر"/>
    <x v="15"/>
    <s v="563463762"/>
    <s v="N/A"/>
    <s v="N/A"/>
    <s v="مفتوح"/>
    <s v="N/A"/>
    <s v="N/A"/>
    <s v="N/A"/>
    <s v="N/A"/>
    <s v="N/A"/>
    <s v="02-050-0488893,02-050-0488900"/>
    <s v="Oct  9 2025 12:59PM,Oct  9 2025  1:01PM"/>
  </r>
  <r>
    <s v="أخرى"/>
    <s v="FS2225431"/>
    <s v="IREM   UMAR"/>
    <s v="INV025357372"/>
    <x v="137"/>
    <x v="1"/>
    <s v="عالي جدًا - معتمر من الخارج"/>
    <s v="مجموعة عمل الأمراض المعدية الآخرى"/>
    <s v="*الملاريا"/>
    <s v="حالة"/>
    <x v="0"/>
    <s v="حالة منتهية لا تتطلب اجراء اضافي"/>
    <x v="23"/>
    <s v="المديرية العامة للشؤون الصحية في المدينة المنورة"/>
    <s v="المدينة المنورة"/>
    <s v="مستشفى الحرم الميداني"/>
    <s v="المديرية العامة للشؤون الصحية في المدينة المنورة"/>
    <s v="1992-12-14"/>
    <s v="32"/>
    <s v="انثى"/>
    <x v="0"/>
    <s v="597325948"/>
    <s v="N/A"/>
    <s v="N/A"/>
    <s v="مغلق"/>
    <s v="N/A"/>
    <s v="N/A"/>
    <s v="N/A"/>
    <s v="N/A"/>
    <s v="N/A"/>
    <s v="02-050-0489633"/>
    <s v="Oct 11 2025  8:00PM"/>
  </r>
  <r>
    <s v="أخرى"/>
    <s v="FF5194905"/>
    <s v="ASADALLAH   SHAIKH"/>
    <s v="INV025357457"/>
    <x v="138"/>
    <x v="1"/>
    <s v="عالي"/>
    <s v="مجموعة عمل الأمراض المعدية الآخرى"/>
    <s v="*الملاريا"/>
    <s v="حالة"/>
    <x v="0"/>
    <s v="حالة منتهية لا تتطلب اجراء اضافي"/>
    <x v="0"/>
    <s v="المديرية العامة للشؤون الصحية في المدينة المنورة"/>
    <s v="المدينة المنورة"/>
    <s v="مستشفى الميقات العام"/>
    <s v="المديرية العامة للشؤون الصحية في المدينة المنورة"/>
    <s v="1978-01-01"/>
    <s v="47"/>
    <s v="ذكر"/>
    <x v="0"/>
    <s v="575715389"/>
    <s v="N/A"/>
    <s v="N/A"/>
    <s v="مفتوح"/>
    <s v="N/A"/>
    <s v="N/A"/>
    <s v="N/A"/>
    <s v="N/A"/>
    <s v="N/A"/>
    <s v="02-050-0489684"/>
    <s v="Oct 12 2025  7:42AM"/>
  </r>
  <r>
    <s v="مقيم"/>
    <s v="2561346566"/>
    <s v="رشيد خان  خميسة"/>
    <s v="INV025357462"/>
    <x v="138"/>
    <x v="0"/>
    <s v="عالي"/>
    <s v="مجموعة عمل الأمراض المعدية الآخرى"/>
    <s v="*الملاريا"/>
    <s v="حالة"/>
    <x v="0"/>
    <s v="حالة منتهية لا تتطلب اجراء اضافي"/>
    <x v="0"/>
    <s v="المديرية العامة للشؤون الصحية في المدينة المنورة"/>
    <s v="المدينة المنورة"/>
    <s v="مركز القصواء للرعاية الصحية الأولية"/>
    <s v="المديرية العامة للشؤون الصحية في المدينة المنورة"/>
    <s v="1999-07-05"/>
    <s v="26"/>
    <s v="ذكر"/>
    <x v="0"/>
    <s v="592644519"/>
    <s v="N/A"/>
    <s v="N/A"/>
    <s v="مغلق"/>
    <s v="N/A"/>
    <s v="N/A"/>
    <s v="N/A"/>
    <s v="N/A"/>
    <s v="N/A"/>
    <s v="02-050-0489694"/>
    <s v="Oct 12 2025  7:48AM"/>
  </r>
  <r>
    <s v="مقيم"/>
    <s v="2566263899"/>
    <s v="ماساما دوفونسو  دجاني"/>
    <s v="INV025357467"/>
    <x v="138"/>
    <x v="0"/>
    <s v="عالي"/>
    <s v="مجموعة عمل الأمراض المعدية الآخرى"/>
    <s v="*الملاريا"/>
    <s v="حالة"/>
    <x v="0"/>
    <s v="حالة منتهية لا تتطلب اجراء اضافي"/>
    <x v="0"/>
    <s v="المديرية العامة للشؤون الصحية في المدينة المنورة"/>
    <s v="المدينة المنورة"/>
    <s v="مستشفى الميقات العام"/>
    <s v="المديرية العامة للشؤون الصحية في المدينة المنورة"/>
    <s v="1999-12-09"/>
    <s v="25"/>
    <s v="ذكر"/>
    <x v="27"/>
    <s v="596700859"/>
    <s v="N/A"/>
    <s v="N/A"/>
    <s v="مفتوح"/>
    <s v="N/A"/>
    <s v="N/A"/>
    <s v="N/A"/>
    <s v="N/A"/>
    <s v="N/A"/>
    <s v="02-050-0489702"/>
    <s v="Oct 12 2025  7:54AM"/>
  </r>
  <r>
    <s v="أخرى"/>
    <s v="6147594750"/>
    <s v="HALEEMA AOSMAN  AOSMAN"/>
    <s v="INV025357473"/>
    <x v="138"/>
    <x v="0"/>
    <s v="عالي"/>
    <s v="مجموعة عمل الأمراض المعدية الآخرى"/>
    <s v="*الملاريا"/>
    <s v="حالة"/>
    <x v="0"/>
    <s v="حالة منتهية لا تتطلب اجراء اضافي"/>
    <x v="0"/>
    <s v="المديرية العامة للشؤون الصحية في المدينة المنورة"/>
    <s v="المدينة المنورة"/>
    <s v="مستشفى الميقات العام"/>
    <s v="المديرية العامة للشؤون الصحية في المدينة المنورة"/>
    <s v="2001-01-01"/>
    <s v="24"/>
    <s v="انثى"/>
    <x v="15"/>
    <s v="542456780"/>
    <s v="N/A"/>
    <s v="N/A"/>
    <s v="مفتوح"/>
    <s v="N/A"/>
    <s v="N/A"/>
    <s v="N/A"/>
    <s v="N/A"/>
    <s v="N/A"/>
    <s v="02-050-0489708"/>
    <s v="Oct 12 2025  8:00AM"/>
  </r>
  <r>
    <s v="أخرى"/>
    <s v="510105265"/>
    <s v="احمد   محمد"/>
    <s v="INV025357688"/>
    <x v="138"/>
    <x v="0"/>
    <s v="عالي"/>
    <s v="مجموعة عمل الأمراض المعدية الآخرى"/>
    <s v="*الملاريا"/>
    <s v="بلاغ أولي"/>
    <x v="0"/>
    <s v="تم فقد المتابعة"/>
    <x v="34"/>
    <s v="المديرية العامة للشؤون الصحية في المدينة المنورة"/>
    <s v="المدينة المنورة"/>
    <s v="مركز النصر للرعاية الصحية الأولية"/>
    <s v="المديرية العامة للشؤون الصحية في المدينة المنورة"/>
    <s v="1983-10-10"/>
    <s v="42"/>
    <s v="ذكر"/>
    <x v="15"/>
    <s v="000000000000"/>
    <s v="N/A"/>
    <s v="N/A"/>
    <s v="مفتوح"/>
    <s v="N/A"/>
    <s v="N/A"/>
    <s v="N/A"/>
    <s v="N/A"/>
    <s v="N/A"/>
    <s v="02-050-0489927"/>
    <s v="Oct 12 2025  9:43AM"/>
  </r>
  <r>
    <s v="مقيم"/>
    <s v="2535306639"/>
    <s v="زيد عزيز عبد العزيز"/>
    <s v="INV025357717"/>
    <x v="138"/>
    <x v="1"/>
    <s v="عالي"/>
    <s v="مجموعة عمل الأمراض المعدية الآخرى"/>
    <s v="*الملاريا"/>
    <s v="حالة"/>
    <x v="2"/>
    <s v="تنويم"/>
    <x v="0"/>
    <s v="المديرية العامة للشؤون الصحية في المدينة المنورة"/>
    <s v="المدينة المنورة"/>
    <s v="المركز الطبي الجامعي"/>
    <s v="المديرية العامة للشؤون الصحية في المدينة المنورة"/>
    <s v="1999-01-04"/>
    <s v="26"/>
    <s v="ذكر"/>
    <x v="12"/>
    <s v="506474155"/>
    <s v="N/A"/>
    <s v="N/A"/>
    <s v="مفتوح"/>
    <s v="N/A"/>
    <s v="N/A"/>
    <s v="N/A"/>
    <s v="N/A"/>
    <s v="N/A"/>
    <s v="02-050-0489942"/>
    <s v="Oct 12 2025  9:49AM"/>
  </r>
  <r>
    <s v="رقم حدود"/>
    <s v="3572834277"/>
    <s v="'-   -"/>
    <s v="INV025357956"/>
    <x v="138"/>
    <x v="2"/>
    <s v="متوسط"/>
    <s v="مجموعة عمل الأمراض المعدية الآخرى"/>
    <s v="*الملاريا"/>
    <s v="حالة"/>
    <x v="1"/>
    <s v="يوجد خطأ في ما تم إدخاله"/>
    <x v="8"/>
    <s v="المديرية العامة للشؤون الصحية في المدينة المنورة"/>
    <s v="المدينة المنورة"/>
    <s v="مركز الرعاية الصحية الأولية البلينية"/>
    <s v="المديرية العامة للشؤون الصحية في المدينة المنورة"/>
    <s v="1997-02-03"/>
    <s v="28"/>
    <s v="ذكر"/>
    <x v="1"/>
    <s v="543963901"/>
    <s v="N/A"/>
    <s v="N/A"/>
    <s v="مغلق"/>
    <s v="N/A"/>
    <s v="N/A"/>
    <s v="N/A"/>
    <s v="N/A"/>
    <s v="N/A"/>
    <s v="02-050-0490191"/>
    <s v="Oct 12 2025 11:12AM"/>
  </r>
  <r>
    <s v="أخرى"/>
    <s v="B02685348"/>
    <s v="BINTA   ABDULLAHI"/>
    <s v="INV025358481"/>
    <x v="138"/>
    <x v="0"/>
    <s v="عالي جدًا - معتمر من الخارج"/>
    <s v="مجموعة عمل الأمراض المعدية الآخرى"/>
    <s v="*الملاريا"/>
    <s v="حالة"/>
    <x v="0"/>
    <s v="حالة منتهية لا تتطلب اجراء اضافي"/>
    <x v="23"/>
    <s v="المديرية العامة للشؤون الصحية في المدينة المنورة"/>
    <s v="المدينة المنورة"/>
    <s v="مستشفى الحرم الميداني"/>
    <s v="المديرية العامة للشؤون الصحية في المدينة المنورة"/>
    <s v="1970-06-13"/>
    <s v="55"/>
    <s v="انثى"/>
    <x v="15"/>
    <s v="590974485"/>
    <s v="N/A"/>
    <s v="N/A"/>
    <s v="مغلق"/>
    <s v="N/A"/>
    <s v="N/A"/>
    <s v="N/A"/>
    <s v="N/A"/>
    <s v="N/A"/>
    <s v="02-050-0490679"/>
    <s v="Oct 13 2025  8:18AM"/>
  </r>
  <r>
    <s v="مقيم"/>
    <s v="2497762803"/>
    <s v="على عبد الغني على ادريس"/>
    <s v="INV025359049"/>
    <x v="139"/>
    <x v="0"/>
    <s v="N/A"/>
    <s v="مجموعة عمل الأمراض المعدية الآخرى"/>
    <s v="*الملاريا"/>
    <s v="حالة"/>
    <x v="0"/>
    <s v="تنويم"/>
    <x v="24"/>
    <s v="المديرية العامة للشؤون الصحية في المدينة المنورة"/>
    <s v="المدينة المنورة"/>
    <s v="مركز الرعاية الصحية الآولية بالعيص"/>
    <s v="المديرية العامة للشؤون الصحية في المدينة المنورة"/>
    <s v="1990-01-01"/>
    <s v="35"/>
    <s v="ذكر"/>
    <x v="2"/>
    <s v="533455103"/>
    <s v="N/A"/>
    <s v="N/A"/>
    <s v="مفتوح"/>
    <s v="N/A"/>
    <s v="N/A"/>
    <s v="N/A"/>
    <s v="N/A"/>
    <s v="N/A"/>
    <s v="02-050-0491087"/>
    <s v="Oct 13 2025 12:49PM"/>
  </r>
  <r>
    <s v="أخرى"/>
    <s v="AB077136"/>
    <s v="امي   امينتوا"/>
    <s v="INV025359193"/>
    <x v="139"/>
    <x v="0"/>
    <s v="متوسط"/>
    <s v="مجموعة عمل الأمراض المعدية الآخرى"/>
    <s v="*الملاريا"/>
    <s v="حالة"/>
    <x v="2"/>
    <s v="تنويم"/>
    <x v="0"/>
    <s v="المديرية العامة للشؤون الصحية في المدينة المنورة"/>
    <s v="المدينة المنورة"/>
    <s v="المركز الطبي الجامعي بالجامعة الاسلامية"/>
    <s v="المديرية العامة للشؤون الصحية في المدينة المنورة"/>
    <s v="2008-01-03"/>
    <s v="17"/>
    <s v="انثى"/>
    <x v="19"/>
    <s v="597349130"/>
    <s v="N/A"/>
    <s v="N/A"/>
    <s v="مفتوح"/>
    <s v="N/A"/>
    <s v="N/A"/>
    <s v="N/A"/>
    <s v="N/A"/>
    <s v="N/A"/>
    <s v="02-050-0491162"/>
    <s v="Oct 13 2025  2:11PM"/>
  </r>
  <r>
    <s v="أخرى"/>
    <s v="AK086127"/>
    <s v="JANES MORAA MORAA MORAA"/>
    <s v="INV025359704"/>
    <x v="140"/>
    <x v="2"/>
    <s v="عالي"/>
    <s v="مجموعة عمل الأمراض المعدية الآخرى"/>
    <s v="*الملاريا"/>
    <s v="حالة"/>
    <x v="2"/>
    <s v="معلَق"/>
    <x v="11"/>
    <s v="المديرية العامة للشؤون الصحية في المدينة المنورة"/>
    <s v="المدينة المنورة"/>
    <s v="مركز صحي السميري"/>
    <s v="المديرية العامة للشؤون الصحية في المدينة المنورة"/>
    <s v="1993-03-25"/>
    <s v="32"/>
    <s v="انثى"/>
    <x v="6"/>
    <s v="505363858"/>
    <s v="N/A"/>
    <s v="N/A"/>
    <s v="مفتوح"/>
    <s v="N/A"/>
    <s v="N/A"/>
    <s v="N/A"/>
    <s v="N/A"/>
    <s v="N/A"/>
    <s v="02-050-0491611"/>
    <s v="Oct 14 2025  9:24AM"/>
  </r>
  <r>
    <s v="أخرى"/>
    <s v="EQ2173905"/>
    <s v="سليمان محمود سراج سليمان"/>
    <s v="INV025360009"/>
    <x v="140"/>
    <x v="1"/>
    <s v="متوسط"/>
    <s v="مجموعة عمل الأمراض المعدية الآخرى"/>
    <s v="*الملاريا"/>
    <s v="حالة"/>
    <x v="0"/>
    <s v="تنويم"/>
    <x v="8"/>
    <s v="المديرية العامة للشؤون الصحية في المدينة المنورة"/>
    <s v="المدينة المنورة"/>
    <s v="مركز الرعاية الصحية الأولية البلينية"/>
    <s v="المديرية العامة للشؤون الصحية في المدينة المنورة"/>
    <s v="1997-02-03"/>
    <s v="28"/>
    <s v="ذكر"/>
    <x v="1"/>
    <s v="543963901"/>
    <s v="N/A"/>
    <s v="N/A"/>
    <s v="مغلق"/>
    <s v="N/A"/>
    <s v="N/A"/>
    <s v="N/A"/>
    <s v="N/A"/>
    <s v="N/A"/>
    <s v="02-050-0492017"/>
    <s v="Oct 14 2025 12:23PM"/>
  </r>
  <r>
    <s v="مقيم"/>
    <s v="2458155823"/>
    <s v="عبدالله   صافى"/>
    <s v="INV025360180"/>
    <x v="140"/>
    <x v="1"/>
    <s v="متوسط"/>
    <s v="مجموعة عمل الأمراض المعدية الآخرى"/>
    <s v="*الملاريا"/>
    <s v="حالة"/>
    <x v="2"/>
    <s v="تنويم"/>
    <x v="0"/>
    <s v="المديرية العامة للشؤون الصحية في المدينة المنورة"/>
    <s v="المدينة المنورة"/>
    <s v="مستشفى الميقات العام"/>
    <s v="المديرية العامة للشؤون الصحية في المدينة المنورة"/>
    <s v="1997-01-06"/>
    <s v="28"/>
    <s v="ذكر"/>
    <x v="23"/>
    <s v="592715193"/>
    <s v="N/A"/>
    <s v="N/A"/>
    <s v="مفتوح"/>
    <s v="N/A"/>
    <s v="N/A"/>
    <s v="N/A"/>
    <s v="N/A"/>
    <s v="N/A"/>
    <s v="02-050-0492109"/>
    <s v="Oct 14 2025  1:27PM"/>
  </r>
  <r>
    <s v="أخرى"/>
    <s v="A13104589"/>
    <s v="ابوبكر   باتشا"/>
    <s v="INV025361197"/>
    <x v="141"/>
    <x v="0"/>
    <s v="N/A"/>
    <s v="مجموعة عمل الأمراض المعدية الآخرى"/>
    <s v="*الملاريا"/>
    <s v="حالة"/>
    <x v="2"/>
    <s v="تنويم"/>
    <x v="0"/>
    <s v="المديرية العامة للشؤون الصحية في المدينة المنورة"/>
    <s v="المدينة المنورة"/>
    <s v="مستشفى الميقات العام"/>
    <s v="المديرية العامة للشؤون الصحية في المدينة المنورة"/>
    <s v="2000-01-01"/>
    <s v="25"/>
    <s v="ذكر"/>
    <x v="15"/>
    <s v="566179399"/>
    <s v="N/A"/>
    <s v="N/A"/>
    <s v="مفتوح"/>
    <s v="N/A"/>
    <s v="N/A"/>
    <s v="N/A"/>
    <s v="Vomiting,صداع ,Nausea, intermittent Fever"/>
    <s v="Oct 10 2025 12:00AM,Oct 10 2025 12:00AM,Oct 10 2025 12:00AM,Oct 10 2025 12:00AM"/>
    <s v="02-050-0493111"/>
    <s v="Oct 15 2025  2:39PM"/>
  </r>
  <r>
    <s v="أخرى"/>
    <s v="YW4107162"/>
    <s v="KHAN   KALAM"/>
    <s v="INV025363641"/>
    <x v="142"/>
    <x v="1"/>
    <s v="عالي"/>
    <s v="مجموعة عمل الأمراض المعدية الآخرى"/>
    <s v="*الملاريا"/>
    <s v="حالة"/>
    <x v="0"/>
    <s v="حالة منتهية لا تتطلب اجراء اضافي"/>
    <x v="0"/>
    <s v="المديرية العامة للشؤون الصحية في المدينة المنورة"/>
    <s v="المدينة المنورة"/>
    <s v="مستشفى الميقات العام"/>
    <s v="المديرية العامة للشؤون الصحية في المدينة المنورة"/>
    <s v="1981-01-01"/>
    <s v="44"/>
    <s v="ذكر"/>
    <x v="0"/>
    <s v="577268412"/>
    <s v="N/A"/>
    <s v="N/A"/>
    <s v="مفتوح"/>
    <s v="N/A"/>
    <s v="N/A"/>
    <s v="N/A"/>
    <s v="N/A"/>
    <s v="N/A"/>
    <s v="02-050-0495489"/>
    <s v="Oct 19 2025 11:57AM"/>
  </r>
  <r>
    <s v="أخرى"/>
    <s v="R1174673"/>
    <s v="عاصم جافيد  صديقي"/>
    <s v="INV025364102"/>
    <x v="142"/>
    <x v="1"/>
    <s v="عالي جدًا - معتمر من الخارج"/>
    <s v="مجموعة عمل الأمراض المعدية الآخرى"/>
    <s v="*الملاريا"/>
    <s v="بلاغ أولي"/>
    <x v="2"/>
    <s v="حالة منتهية لا تتطلب اجراء اضافي"/>
    <x v="23"/>
    <s v="المديرية العامة للشؤون الصحية في المدينة المنورة"/>
    <s v="المدينة المنورة"/>
    <s v="مستشفى الحرم الميداني"/>
    <s v="المديرية العامة للشؤون الصحية في المدينة المنورة"/>
    <s v="1994-08-20"/>
    <s v="31"/>
    <s v="ذكر"/>
    <x v="12"/>
    <s v="509526456"/>
    <s v="N/A"/>
    <s v="N/A"/>
    <s v="مغلق"/>
    <s v="N/A"/>
    <s v="N/A"/>
    <s v="N/A"/>
    <s v="N/A"/>
    <s v="N/A"/>
    <s v="02-050-0495945"/>
    <s v="Oct 19 2025  3:00PM"/>
  </r>
  <r>
    <s v="أخرى"/>
    <s v="P13244009"/>
    <s v="ASMAR GEBREEL AHMED MOHAM   AHMED MOHAM"/>
    <s v="INV025364644"/>
    <x v="143"/>
    <x v="0"/>
    <s v="عالي جدًا - معتمر من الخارج"/>
    <s v="مجموعة عمل الأمراض المعدية الآخرى"/>
    <s v="*الملاريا"/>
    <s v="حالة"/>
    <x v="3"/>
    <s v="تحت الإجراء"/>
    <x v="4"/>
    <s v="المديرية العامة للشؤون الصحية في المدينة المنورة"/>
    <s v="المدينة المنورة"/>
    <s v="مركز  صحي سيد الشهداء"/>
    <s v="المديرية العامة للشؤون الصحية في المدينة المنورة"/>
    <s v="2003-01-01"/>
    <s v="22"/>
    <s v="انثى"/>
    <x v="2"/>
    <s v="590731806"/>
    <s v="N/A"/>
    <s v="N/A"/>
    <s v="مفتوح"/>
    <s v="N/A"/>
    <s v="N/A"/>
    <s v="N/A"/>
    <s v="N/A"/>
    <s v="N/A"/>
    <s v="02-050-0496727,02-050-0496732"/>
    <s v="Oct 20 2025 10:08AM,Oct 20 2025 10:09AM"/>
  </r>
  <r>
    <s v="رقم حدود"/>
    <s v="4425874866"/>
    <s v="زييني   ماهاميد"/>
    <s v="INV025366297"/>
    <x v="144"/>
    <x v="0"/>
    <s v="عالي"/>
    <s v="مجموعة عمل الأمراض المعدية الآخرى"/>
    <s v="*الملاريا"/>
    <s v="حالة"/>
    <x v="2"/>
    <s v="معلَق"/>
    <x v="21"/>
    <s v="المديرية العامة للشؤون الصحية في المدينة المنورة"/>
    <s v="المدينة المنورة"/>
    <s v="ادارة مكافحة الامراض المعدية"/>
    <s v="المديرية العامة للشؤون الصحية في المدينة المنورة"/>
    <s v="1983-12-31"/>
    <s v="41"/>
    <s v="ذكر"/>
    <x v="22"/>
    <s v="555555555"/>
    <s v="N/A"/>
    <s v="N/A"/>
    <s v="مفتوح"/>
    <s v="N/A"/>
    <s v="N/A"/>
    <s v="N/A"/>
    <s v="N/A"/>
    <s v="N/A"/>
    <s v="02-050-0498426"/>
    <s v="Oct 21 2025  2:03PM"/>
  </r>
  <r>
    <s v="مقيم"/>
    <s v="2331505236"/>
    <s v="علي ادم محمد حسين"/>
    <s v="INV025366845"/>
    <x v="145"/>
    <x v="0"/>
    <s v="متوسط"/>
    <s v="مجموعة عمل الأمراض المعدية الآخرى"/>
    <s v="*الملاريا"/>
    <s v="حالة"/>
    <x v="2"/>
    <s v="معلَق"/>
    <x v="5"/>
    <s v="المديرية العامة للشؤون الصحية في المدينة المنورة"/>
    <s v="المدينة المنورة"/>
    <s v="مركز الفتح للرعاية الصحية الاولية"/>
    <s v="المديرية العامة للشؤون الصحية في المدينة المنورة"/>
    <s v="1993-01-01"/>
    <s v="32"/>
    <s v="ذكر"/>
    <x v="2"/>
    <s v="545873615"/>
    <s v="N/A"/>
    <s v="N/A"/>
    <s v="مفتوح"/>
    <s v="N/A"/>
    <s v="N/A"/>
    <s v="N/A"/>
    <s v="N/A"/>
    <s v="N/A"/>
    <s v="02-050-0499057"/>
    <s v="Oct 22 2025 10:01AM"/>
  </r>
  <r>
    <s v="أخرى"/>
    <s v="P12820181"/>
    <s v="AYMAN   OMAR ALI ABD ELRAHM"/>
    <s v="INV025367625"/>
    <x v="146"/>
    <x v="1"/>
    <s v="عالي جدًا – سائح"/>
    <s v="مجموعة عمل الأمراض المعدية الآخرى"/>
    <s v="*الملاريا"/>
    <s v="حالة"/>
    <x v="3"/>
    <s v="تحت الإجراء"/>
    <x v="4"/>
    <s v="المديرية العامة للشؤون الصحية في المدينة المنورة"/>
    <s v="المدينة المنورة"/>
    <s v="مركز صحي باب جبريل للرعاية الصحية الأولية"/>
    <s v="المديرية العامة للشؤون الصحية في المدينة المنورة"/>
    <s v="2011-10-16"/>
    <s v="14"/>
    <s v="ذكر"/>
    <x v="2"/>
    <s v="533285241"/>
    <s v="N/A"/>
    <s v="N/A"/>
    <s v="مفتوح"/>
    <s v="N/A"/>
    <s v="N/A"/>
    <s v="N/A"/>
    <s v="N/A"/>
    <s v="N/A"/>
    <s v="N/A"/>
    <s v="N/A"/>
  </r>
  <r>
    <s v="أخرى"/>
    <s v="P13042638"/>
    <s v="MONA   BAKHEET"/>
    <s v="INV025367997"/>
    <x v="146"/>
    <x v="1"/>
    <s v="عالي"/>
    <s v="مجموعة عمل الأمراض المعدية الآخرى"/>
    <s v="*الملاريا"/>
    <s v="حالة"/>
    <x v="2"/>
    <s v="حالة منتهية لا تتطلب اجراء اضافي"/>
    <x v="0"/>
    <s v="المديرية العامة للشؤون الصحية في المدينة المنورة"/>
    <s v="المدينة المنورة"/>
    <s v="مستشفى الميقات العام"/>
    <s v="المديرية العامة للشؤون الصحية في المدينة المنورة"/>
    <s v="2025-10-01"/>
    <s v="0"/>
    <s v="انثى"/>
    <x v="2"/>
    <s v="547381824"/>
    <s v="DAMA"/>
    <s v="Oct 21 2025 12:00AM"/>
    <s v="مفتوح"/>
    <s v="N/A"/>
    <s v="N/A"/>
    <s v="N/A"/>
    <s v="N/A"/>
    <s v="N/A"/>
    <s v="02-050-0500252"/>
    <s v="Oct 23 2025 11:17AM"/>
  </r>
  <r>
    <s v="مقيم"/>
    <s v="2407155940"/>
    <s v="ابوزيد احمد ادم محمد"/>
    <s v="INV025371180"/>
    <x v="147"/>
    <x v="0"/>
    <s v="متوسط"/>
    <s v="مجموعة عمل الأمراض المعدية الآخرى"/>
    <s v="*الملاريا"/>
    <s v="حالة"/>
    <x v="2"/>
    <s v="تحت الإجراء"/>
    <x v="23"/>
    <s v="المديرية العامة للشؤون الصحية في المدينة المنورة"/>
    <s v="المدينة المنورة"/>
    <s v="مستشفى الحرم الميداني"/>
    <s v="المديرية العامة للشؤون الصحية في المدينة المنورة"/>
    <s v="1993-01-01"/>
    <s v="32"/>
    <s v="ذكر"/>
    <x v="2"/>
    <s v="590951273"/>
    <s v="N/A"/>
    <s v="N/A"/>
    <s v="مفتوح"/>
    <s v="N/A"/>
    <s v="N/A"/>
    <s v="N/A"/>
    <s v="N/A"/>
    <s v="N/A"/>
    <s v="02-050-0503376"/>
    <s v="Oct 27 2025  9:48AM"/>
  </r>
  <r>
    <s v="أخرى"/>
    <s v="gf2224361"/>
    <s v="محمد   عمر"/>
    <s v="INV025373084"/>
    <x v="148"/>
    <x v="0"/>
    <s v="عالي جدًا - معتمر من الخارج"/>
    <s v="مجموعة عمل الأمراض المعدية الآخرى"/>
    <s v="*الملاريا"/>
    <s v="حالة"/>
    <x v="2"/>
    <s v="تحت الإجراء"/>
    <x v="23"/>
    <s v="المديرية العامة للشؤون الصحية في المدينة المنورة"/>
    <s v="المدينة المنورة"/>
    <s v="مستشفى الحرم الميداني"/>
    <s v="المديرية العامة للشؤون الصحية في المدينة المنورة"/>
    <s v="2020-10-05"/>
    <s v="5"/>
    <s v="ذكر"/>
    <x v="0"/>
    <s v="503252307"/>
    <s v="N/A"/>
    <s v="N/A"/>
    <s v="مفتوح"/>
    <s v="N/A"/>
    <s v="N/A"/>
    <s v="N/A"/>
    <s v="N/A"/>
    <s v="N/A"/>
    <s v="02-050-0505368"/>
    <s v="Oct 28 2025  3:31PM"/>
  </r>
  <r>
    <s v="رقم حدود"/>
    <s v="3584950947"/>
    <s v="'-   -"/>
    <s v="INV025374412"/>
    <x v="149"/>
    <x v="2"/>
    <s v="N/A"/>
    <s v="مجموعة عمل الأمراض المعدية الآخرى"/>
    <s v="*الملاريا"/>
    <s v="بلاغ أولي"/>
    <x v="2"/>
    <s v="بلاغ أولي"/>
    <x v="35"/>
    <s v="المديرية العامة للشؤون الصحية في المدينة المنورة"/>
    <s v="المدينة المنورة"/>
    <s v="مجمع  سما الطبي"/>
    <s v="المديرية العامة للشؤون الصحية في المدينة المنورة"/>
    <s v="1993-03-25"/>
    <s v="32"/>
    <s v="انثى"/>
    <x v="6"/>
    <s v="580420294"/>
    <s v="N/A"/>
    <s v="N/A"/>
    <s v="مفتوح"/>
    <s v="N/A"/>
    <s v="N/A"/>
    <s v="N/A"/>
    <s v="N/A"/>
    <s v="N/A"/>
    <s v="N/A"/>
    <s v="N/A"/>
  </r>
  <r>
    <s v="أخرى"/>
    <s v="3786728"/>
    <s v="مديحه بشير بشير بشير"/>
    <s v="INV025374453"/>
    <x v="149"/>
    <x v="1"/>
    <s v="عالي"/>
    <s v="مجموعة عمل الأمراض المعدية الآخرى"/>
    <s v="*الملاريا"/>
    <s v="حالة"/>
    <x v="0"/>
    <s v="تنويم"/>
    <x v="29"/>
    <s v="المديرية العامة للشؤون الصحية في المدينة المنورة"/>
    <s v="المدينة المنورة"/>
    <s v="مستشفى احد"/>
    <s v="المديرية العامة للشؤون الصحية في المدينة المنورة"/>
    <s v="2002-08-10"/>
    <s v="23"/>
    <s v="انثى"/>
    <x v="0"/>
    <s v="564310237"/>
    <s v="N/A"/>
    <s v="N/A"/>
    <s v="مفتوح"/>
    <s v="N/A"/>
    <s v="N/A"/>
    <s v="N/A"/>
    <s v="N/A"/>
    <s v="N/A"/>
    <s v="02-050-0506765"/>
    <s v="Oct 30 2025  7:32AM"/>
  </r>
  <r>
    <s v="أخرى"/>
    <s v="P1294665"/>
    <s v="عرفه يعقوب جاد المولى"/>
    <s v="INV025374725"/>
    <x v="150"/>
    <x v="0"/>
    <s v="N/A"/>
    <s v="مجموعة عمل الأمراض المعدية الآخرى"/>
    <s v="*الملاريا"/>
    <s v="حالة"/>
    <x v="3"/>
    <s v="تحت الإجراء"/>
    <x v="28"/>
    <s v="المديرية العامة للشؤون الصحية في المدينة المنورة"/>
    <s v="المدينة المنورة"/>
    <s v="مركز الرعاية الصحية الاولية بستارة"/>
    <s v="المديرية العامة للشؤون الصحية بمنطقة مكة المكرمة"/>
    <s v="2000-06-01"/>
    <s v="25"/>
    <s v="انثى"/>
    <x v="2"/>
    <s v="545561005"/>
    <s v="N/A"/>
    <s v="N/A"/>
    <s v="مفتوح"/>
    <s v="N/A"/>
    <s v="N/A"/>
    <s v="N/A"/>
    <s v="N/A"/>
    <s v="N/A"/>
    <s v="02-050-0507042"/>
    <s v="Oct 30 2025 10:14AM"/>
  </r>
  <r>
    <s v="مقيم"/>
    <s v="2147549030"/>
    <s v="عبدالمنعم عادل محمد علي"/>
    <s v="INV025376670"/>
    <x v="151"/>
    <x v="0"/>
    <s v="N/A"/>
    <s v="مجموعة عمل الأمراض المعدية الآخرى"/>
    <s v="*الملاريا"/>
    <s v="حالة"/>
    <x v="0"/>
    <s v="تنويم"/>
    <x v="24"/>
    <s v="المديرية العامة للشؤون الصحية في المدينة المنورة"/>
    <s v="المدينة المنورة"/>
    <s v="مركز صحي الشبحه"/>
    <s v="المديرية العامة للشؤون الصحية بمنطقة تبوك"/>
    <s v="1965-01-01"/>
    <s v="60"/>
    <s v="ذكر"/>
    <x v="2"/>
    <s v="557197556"/>
    <s v="N/A"/>
    <s v="N/A"/>
    <s v="مفتوح"/>
    <s v="N/A"/>
    <s v="N/A"/>
    <s v="N/A"/>
    <s v="N/A"/>
    <s v="N/A"/>
    <s v="02-050-0508831"/>
    <s v="Nov  2 2025 10:52AM"/>
  </r>
  <r>
    <s v="أخرى"/>
    <s v="A12579325"/>
    <s v="يوسف عبدالله  يوسف"/>
    <s v="INV025376892"/>
    <x v="151"/>
    <x v="0"/>
    <s v="عالي جدًا - معتمر من الخارج"/>
    <s v="مجموعة عمل الأمراض المعدية الآخرى"/>
    <s v="*الملاريا"/>
    <s v="حالة"/>
    <x v="2"/>
    <s v="معلَق"/>
    <x v="5"/>
    <s v="المديرية العامة للشؤون الصحية في المدينة المنورة"/>
    <s v="المدينة المنورة"/>
    <s v="مركز صحي الحرة الغربية"/>
    <s v="المديرية العامة للشؤون الصحية في المدينة المنورة"/>
    <s v="1976-06-06"/>
    <s v="49"/>
    <s v="ذكر"/>
    <x v="15"/>
    <s v="522588565"/>
    <s v="N/A"/>
    <s v="N/A"/>
    <s v="مفتوح"/>
    <s v="N/A"/>
    <s v="N/A"/>
    <s v="N/A"/>
    <s v="N/A"/>
    <s v="N/A"/>
    <s v="02-050-0509054"/>
    <s v="Nov  2 2025 11:55AM"/>
  </r>
  <r>
    <s v="أخرى"/>
    <s v="P12853271"/>
    <s v="BATOL   ABASS"/>
    <s v="INV025377768"/>
    <x v="152"/>
    <x v="0"/>
    <s v="عالي"/>
    <s v="مجموعة عمل الأمراض المعدية الآخرى"/>
    <s v="*الملاريا"/>
    <s v="حالة"/>
    <x v="2"/>
    <s v="تنويم"/>
    <x v="0"/>
    <s v="المديرية العامة للشؤون الصحية في المدينة المنورة"/>
    <s v="المدينة المنورة"/>
    <s v="مركز صحي الحرة الغربية"/>
    <s v="المديرية العامة للشؤون الصحية في المدينة المنورة"/>
    <s v="1991-04-06"/>
    <s v="34"/>
    <s v="انثى"/>
    <x v="2"/>
    <s v="548082931"/>
    <s v="N/A"/>
    <s v="N/A"/>
    <s v="مفتوح"/>
    <s v="N/A"/>
    <s v="N/A"/>
    <s v="N/A"/>
    <s v="حمى ,صداع "/>
    <s v="Oct 26 2025 12:00AM,Oct 26 2025 12:00AM"/>
    <s v="02-050-0510016"/>
    <s v="Nov  3 2025  9:19AM"/>
  </r>
  <r>
    <s v="مقيم"/>
    <s v="2449542675"/>
    <s v="حسين الخضر الحاج محمد"/>
    <s v="INV025378410"/>
    <x v="152"/>
    <x v="0"/>
    <s v="N/A"/>
    <s v="مجموعة عمل الأمراض المعدية الآخرى"/>
    <s v="*الملاريا"/>
    <s v="حالة"/>
    <x v="2"/>
    <s v="حالة منتهية لا تتطلب اجراء اضافي"/>
    <x v="0"/>
    <s v="المديرية العامة للشؤون الصحية في المدينة المنورة"/>
    <s v="المدينة المنورة"/>
    <s v="مركز الدعيثة للرعاية الصحية الاولية"/>
    <s v="المديرية العامة للشؤون الصحية في المدينة المنورة"/>
    <s v="1961-12-06"/>
    <s v="63"/>
    <s v="ذكر"/>
    <x v="2"/>
    <s v="536703202"/>
    <s v="N/A"/>
    <s v="N/A"/>
    <s v="مفتوح"/>
    <s v="N/A"/>
    <s v="N/A"/>
    <s v="N/A"/>
    <s v="N/A"/>
    <s v="N/A"/>
    <s v="02-050-0510785"/>
    <s v="Nov  3 2025  3:04PM"/>
  </r>
  <r>
    <s v="مواطن"/>
    <s v="1106490988"/>
    <s v="عماد سلامه  الذبياني"/>
    <s v="INV025378438"/>
    <x v="152"/>
    <x v="6"/>
    <s v="عالي"/>
    <s v="مجموعة عمل الأمراض المعدية الآخرى"/>
    <s v="*الملاريا"/>
    <s v="حالة"/>
    <x v="2"/>
    <s v="تنويم"/>
    <x v="0"/>
    <s v="المديرية العامة للشؤون الصحية في المدينة المنورة"/>
    <s v="المدينة المنورة"/>
    <s v="مركز صحي العزيزية"/>
    <s v="المديرية العامة للشؤون الصحية في المدينة المنورة"/>
    <s v="1999-12-27"/>
    <s v="25"/>
    <s v="ذكر"/>
    <x v="4"/>
    <s v="538309569"/>
    <s v="N/A"/>
    <s v="N/A"/>
    <s v="مفتوح"/>
    <s v="N/A"/>
    <s v="N/A"/>
    <s v="N/A"/>
    <s v="N/A"/>
    <s v="N/A"/>
    <s v="02-050-0510782"/>
    <s v="Nov  3 2025  3:01PM"/>
  </r>
  <r>
    <s v="مواطن"/>
    <n v="1079449771"/>
    <s v="سعود حضرم خضر البلوي"/>
    <s v="INV025380383"/>
    <x v="153"/>
    <x v="0"/>
    <s v="عالي"/>
    <s v="مجموعة عمل الأمراض المعدية الآخرى"/>
    <s v="*الملاريا"/>
    <s v="حالة"/>
    <x v="2"/>
    <s v="تنويم"/>
    <x v="15"/>
    <s v="المديرية العامة للشؤون الصحية في المدينة المنورة"/>
    <s v="المدينة المنورة"/>
    <s v="مركز صحي مدائن صالح"/>
    <s v="المديرية العامة للشؤون الصحية في المدينة المنورة"/>
    <s v="1992-11-20"/>
    <s v="32"/>
    <s v="ذكر"/>
    <x v="4"/>
    <s v="532281940"/>
    <s v="N/A"/>
    <s v="N/A"/>
    <s v="مفتوح"/>
    <s v="N/A"/>
    <s v="N/A"/>
    <s v="N/A"/>
    <s v="N/A"/>
    <s v="N/A"/>
    <s v="02-050-0512843"/>
    <s v="Nov  5 2025 11:23AM"/>
  </r>
  <r>
    <s v="مقيم"/>
    <s v="2469614818"/>
    <s v="محمد كاشف فقير محمد"/>
    <s v="INV025380467"/>
    <x v="153"/>
    <x v="1"/>
    <s v="متوسط"/>
    <s v="مجموعة عمل الأمراض المعدية الآخرى"/>
    <s v="*الملاريا"/>
    <s v="حالة"/>
    <x v="2"/>
    <s v="تنويم"/>
    <x v="8"/>
    <s v="المديرية العامة للشؤون الصحية في المدينة المنورة"/>
    <s v="المدينة المنورة"/>
    <s v="مركز صحي ادمان"/>
    <s v="المديرية العامة للشؤون الصحية في المدينة المنورة"/>
    <s v="1996-03-31"/>
    <s v="29"/>
    <s v="ذكر"/>
    <x v="0"/>
    <s v="599427435"/>
    <s v="N/A"/>
    <s v="N/A"/>
    <s v="مفتوح"/>
    <s v="N/A"/>
    <s v="N/A"/>
    <s v="N/A"/>
    <s v="N/A"/>
    <s v="N/A"/>
    <s v="02-050-0512931"/>
    <s v="Nov  5 2025 12:01PM"/>
  </r>
  <r>
    <s v="أخرى"/>
    <s v="C8935941"/>
    <s v="Abdul Rhim  Mehboob"/>
    <s v="INV025381085"/>
    <x v="154"/>
    <x v="1"/>
    <s v="عالي جدًا - معتمر من الخارج"/>
    <s v="مجموعة عمل الأمراض المعدية الآخرى"/>
    <s v="*الملاريا"/>
    <s v="حالة"/>
    <x v="2"/>
    <s v="تحت الإجراء"/>
    <x v="23"/>
    <s v="المديرية العامة للشؤون الصحية في المدينة المنورة"/>
    <s v="المدينة المنورة"/>
    <s v="مستشفى الحرم الميداني"/>
    <s v="المديرية العامة للشؤون الصحية في المدينة المنورة"/>
    <s v="1955-05-05"/>
    <s v="70"/>
    <s v="ذكر"/>
    <x v="12"/>
    <s v="506417116"/>
    <s v="N/A"/>
    <s v="N/A"/>
    <s v="مفتوح"/>
    <s v="N/A"/>
    <s v="N/A"/>
    <s v="N/A"/>
    <s v="N/A"/>
    <s v="N/A"/>
    <s v="02-050-0513601"/>
    <s v="Nov  6 2025  8:50AM"/>
  </r>
  <r>
    <s v="مقيم"/>
    <s v="2464234661"/>
    <s v="عمر حسن محمد الحاج"/>
    <s v="INV025383239"/>
    <x v="155"/>
    <x v="0"/>
    <s v="متوسط"/>
    <s v="مجموعة عمل الأمراض المعدية الآخرى"/>
    <s v="*الملاريا"/>
    <s v="حالة"/>
    <x v="2"/>
    <s v="معلَق"/>
    <x v="5"/>
    <s v="المديرية العامة للشؤون الصحية في المدينة المنورة"/>
    <s v="المدينة المنورة"/>
    <s v="قسم نواقل المرض والأمراض المشتركة بتجمع المدينة"/>
    <s v="المديرية العامة للشؤون الصحية في المدينة المنورة"/>
    <s v="1992-01-01"/>
    <s v="33"/>
    <s v="ذكر"/>
    <x v="2"/>
    <s v="578471786"/>
    <s v="N/A"/>
    <s v="N/A"/>
    <s v="مفتوح"/>
    <s v="N/A"/>
    <s v="N/A"/>
    <s v="N/A"/>
    <s v="N/A"/>
    <s v="N/A"/>
    <s v="02-050-0515754"/>
    <s v="Nov  9 2025 10:37AM"/>
  </r>
  <r>
    <s v="مقيم"/>
    <s v="2442773061"/>
    <s v="فخر الدين محمد عبدالله ابراهيم"/>
    <s v="INV025386356"/>
    <x v="156"/>
    <x v="0"/>
    <s v="عالي"/>
    <s v="مجموعة عمل الأمراض المعدية الآخرى"/>
    <s v="*الملاريا"/>
    <s v="حالة"/>
    <x v="2"/>
    <s v="تنويم"/>
    <x v="0"/>
    <s v="المديرية العامة للشؤون الصحية في المدينة المنورة"/>
    <s v="منطقة المدينة المنورة"/>
    <s v="مركز وعيرة للرعاية الصحية الاولية"/>
    <s v="المديرية العامة للشؤون الصحية في المدينة المنورة"/>
    <s v="1975-01-01"/>
    <s v="50"/>
    <s v="ذكر"/>
    <x v="2"/>
    <s v="555315652"/>
    <s v="N/A"/>
    <s v="N/A"/>
    <s v="مفتوح"/>
    <s v="N/A"/>
    <s v="N/A"/>
    <s v="N/A"/>
    <s v="حمى ,Nausea,Myalgia"/>
    <s v="Oct 25 2025 12:00AM,Oct 25 2025 12:00AM,Oct 25 2025 12:00AM"/>
    <s v="02-050-0518905"/>
    <s v="Nov 12 2025  8:20AM"/>
  </r>
  <r>
    <s v="مقيم"/>
    <s v="2494436765"/>
    <s v="الامين محمد احمد البدوي"/>
    <s v="INV025387529"/>
    <x v="157"/>
    <x v="1"/>
    <s v="عالي"/>
    <s v="مجموعة عمل الأمراض المعدية الآخرى"/>
    <s v="*الملاريا"/>
    <s v="حالة"/>
    <x v="2"/>
    <s v="تنويم"/>
    <x v="4"/>
    <s v="المديرية العامة للشؤون الصحية في المدينة المنورة"/>
    <s v="منطقة المدينة المنورة"/>
    <s v="مركز صحي الحناكية للرعاية الصحية الأولية"/>
    <s v="المديرية العامة للشؤون الصحية في المدينة المنورة"/>
    <s v="1975-01-01"/>
    <s v="50"/>
    <s v="ذكر"/>
    <x v="2"/>
    <s v="557303097"/>
    <s v="N/A"/>
    <s v="N/A"/>
    <s v="مفتوح"/>
    <s v="N/A"/>
    <s v="N/A"/>
    <s v="N/A"/>
    <s v="N/A"/>
    <s v="N/A"/>
    <s v="02-050-0520157,02-050-0520192"/>
    <s v="Nov 13 2025  9:05AM,Nov 13 2025  9:19AM"/>
  </r>
  <r>
    <s v="أخرى"/>
    <s v="P09265447"/>
    <s v="محمد عبدالرحمن عثمان سر"/>
    <s v="INV025387567"/>
    <x v="157"/>
    <x v="1"/>
    <s v="عالي جدًا - معتمر من الخارج"/>
    <s v="مجموعة عمل الأمراض المعدية الآخرى"/>
    <s v="*الملاريا"/>
    <s v="حالة"/>
    <x v="2"/>
    <s v="تنويم"/>
    <x v="4"/>
    <s v="المديرية العامة للشؤون الصحية في المدينة المنورة"/>
    <s v="منطقة المدينة المنورة"/>
    <s v="مركز صحي الحزام"/>
    <s v="المديرية العامة للشؤون الصحية في المدينة المنورة"/>
    <s v="1981-01-01"/>
    <s v="44"/>
    <s v="ذكر"/>
    <x v="2"/>
    <s v="510520660"/>
    <s v="N/A"/>
    <s v="N/A"/>
    <s v="مفتوح"/>
    <s v="N/A"/>
    <s v="N/A"/>
    <s v="N/A"/>
    <s v="N/A"/>
    <s v="N/A"/>
    <s v="02-050-0520114,02-050-0520123"/>
    <s v="Nov 13 2025  8:42AM,Nov 13 2025  8:46AM"/>
  </r>
  <r>
    <s v="أخرى"/>
    <s v="B01753870"/>
    <s v="رفاعي   ناصر"/>
    <s v="INV025388619"/>
    <x v="158"/>
    <x v="0"/>
    <s v="عالي جدًا - حاج من الخارج"/>
    <s v="مجموعة عمل الأمراض المعدية الآخرى"/>
    <s v="*الملاريا"/>
    <s v="بلاغ أولي"/>
    <x v="0"/>
    <s v="حالة منتهية لا تتطلب اجراء اضافي"/>
    <x v="23"/>
    <s v="المديرية العامة للشؤون الصحية في المدينة المنورة"/>
    <s v="منطقة المدينة المنورة"/>
    <s v="مستشفى الحرم الميداني"/>
    <s v="المديرية العامة للشؤون الصحية في المدينة المنورة"/>
    <s v="1992-07-22"/>
    <s v="33"/>
    <s v="ذكر"/>
    <x v="15"/>
    <s v="549259373"/>
    <s v="DAMA"/>
    <s v="Nov 15 2025 12:00AM"/>
    <s v="مغلق"/>
    <s v="N/A"/>
    <s v="N/A"/>
    <s v="N/A"/>
    <s v="N/A"/>
    <s v="N/A"/>
    <s v="02-050-0521067"/>
    <s v="Nov 15 2025  4:22AM"/>
  </r>
  <r>
    <s v="أخرى"/>
    <s v="P11256202"/>
    <s v="احمد حبيب الله احمد عبدالله"/>
    <s v="INV025389198"/>
    <x v="159"/>
    <x v="0"/>
    <s v="عالي جدًا - معتمر من الخارج"/>
    <s v="مجموعة عمل الأمراض المعدية الآخرى"/>
    <s v="*الملاريا"/>
    <s v="حالة"/>
    <x v="0"/>
    <s v="حالة منتهية لا تتطلب اجراء اضافي"/>
    <x v="4"/>
    <s v="المديرية العامة للشؤون الصحية في المدينة المنورة"/>
    <s v="منطقة المدينة المنورة"/>
    <s v="مركز صحي الحزام"/>
    <s v="المديرية العامة للشؤون الصحية في المدينة المنورة"/>
    <s v="1962-01-01"/>
    <s v="63"/>
    <s v="ذكر"/>
    <x v="2"/>
    <s v="532952147"/>
    <s v="Recovered"/>
    <s v="Nov 22 2025 12:00AM"/>
    <s v="مفتوح"/>
    <s v="N/A"/>
    <s v="N/A"/>
    <s v="N/A"/>
    <s v=" intermittent Fever"/>
    <s v="Nov 11 2025 12:00AM"/>
    <s v="02-050-0522023,02-050-0522025"/>
    <s v="Nov 16 2025 11:05AM,Nov 16 2025 11:06AM"/>
  </r>
  <r>
    <s v="أخرى"/>
    <s v="6152886258"/>
    <s v="AHMED   MOHAMMED"/>
    <s v="INV025389210"/>
    <x v="159"/>
    <x v="0"/>
    <s v="عالي جدًا - معتمر من الخارج"/>
    <s v="مجموعة عمل الأمراض المعدية الآخرى"/>
    <s v="*الملاريا"/>
    <s v="حالة"/>
    <x v="0"/>
    <s v="حالة منتهية لا تتطلب اجراء اضافي"/>
    <x v="1"/>
    <s v="المديرية العامة للشؤون الصحية في المدينة المنورة"/>
    <s v="منطقة المدينة المنورة"/>
    <s v="مستشفى السلام"/>
    <s v="المديرية العامة للشؤون الصحية في المدينة المنورة"/>
    <s v="1981-10-24"/>
    <s v="44"/>
    <s v="ذكر"/>
    <x v="15"/>
    <s v="568572168"/>
    <s v="N/A"/>
    <s v="N/A"/>
    <s v="مغلق"/>
    <s v="N/A"/>
    <s v="N/A"/>
    <s v="N/A"/>
    <s v="N/A"/>
    <s v="N/A"/>
    <s v="02-050-0521642"/>
    <s v="Nov 16 2025  8:56AM"/>
  </r>
  <r>
    <s v="مقيم"/>
    <s v="2483331399"/>
    <s v="انس ابراهيم نعيم ابراهيم"/>
    <s v="INV025390095"/>
    <x v="159"/>
    <x v="1"/>
    <s v="N/A"/>
    <s v="مجموعة عمل الأمراض المعدية الآخرى"/>
    <s v="*الملاريا"/>
    <s v="حالة"/>
    <x v="0"/>
    <s v="حالة منتهية لا تتطلب اجراء اضافي"/>
    <x v="0"/>
    <s v="المديرية العامة للشؤون الصحية في المدينة المنورة"/>
    <s v="منطقة المدينة المنورة"/>
    <s v="مستشفى الميقات العام"/>
    <s v="المديرية العامة للشؤون الصحية في المدينة المنورة"/>
    <s v="1969-01-01"/>
    <s v="56"/>
    <s v="ذكر"/>
    <x v="2"/>
    <s v="508240268"/>
    <s v="N/A"/>
    <s v="N/A"/>
    <s v="مغلق"/>
    <s v="N/A"/>
    <s v="N/A"/>
    <s v="N/A"/>
    <s v="N/A"/>
    <s v="N/A"/>
    <s v="02-050-0522474"/>
    <s v="Nov 16 2025  2:31PM"/>
  </r>
  <r>
    <s v="مقيم"/>
    <s v="2327587479"/>
    <s v="قصي الياقوت محمد بادي"/>
    <s v="INV025390136"/>
    <x v="159"/>
    <x v="0"/>
    <s v="N/A"/>
    <s v="مجموعة عمل الأمراض المعدية الآخرى"/>
    <s v="*الملاريا"/>
    <s v="حالة"/>
    <x v="0"/>
    <s v="معلَق"/>
    <x v="0"/>
    <s v="المديرية العامة للشؤون الصحية في المدينة المنورة"/>
    <s v="منطقة المدينة المنورة"/>
    <s v="مستشفى الميقات العام"/>
    <s v="المديرية العامة للشؤون الصحية في المدينة المنورة"/>
    <s v="1988-01-01"/>
    <s v="37"/>
    <s v="ذكر"/>
    <x v="2"/>
    <s v="508351302"/>
    <s v="N/A"/>
    <s v="N/A"/>
    <s v="مغلق"/>
    <s v="N/A"/>
    <s v="N/A"/>
    <s v="N/A"/>
    <s v="N/A"/>
    <s v="N/A"/>
    <s v="02-050-0522505"/>
    <s v="Nov 16 2025  2:43PM"/>
  </r>
  <r>
    <s v="أخرى"/>
    <s v="EQ2572118"/>
    <s v="كريمه محمد محمد محمد"/>
    <s v="INV025390582"/>
    <x v="160"/>
    <x v="0"/>
    <s v="عالي"/>
    <s v="مجموعة عمل الأمراض المعدية الآخرى"/>
    <s v="*الملاريا"/>
    <s v="حالة"/>
    <x v="0"/>
    <s v="تنويم"/>
    <x v="4"/>
    <s v="المديرية العامة للشؤون الصحية في المدينة المنورة"/>
    <s v="منطقة المدينة المنورة"/>
    <s v="مركز صحي البدراني"/>
    <s v="المديرية العامة للشؤون الصحية في المدينة المنورة"/>
    <s v="2000-01-01"/>
    <s v="25"/>
    <s v="انثى"/>
    <x v="1"/>
    <s v="553213387"/>
    <s v="Recovered"/>
    <s v="Nov 23 2025 12:00AM"/>
    <s v="مفتوح"/>
    <s v="N/A"/>
    <s v="N/A"/>
    <s v="N/A"/>
    <s v=" intermittent Fever"/>
    <s v="Nov 11 2025 12:00AM"/>
    <s v="02-050-0522944,02-050-0522947"/>
    <s v="Nov 17 2025  8:51AM,Nov 17 2025  8:54AM"/>
  </r>
  <r>
    <s v="مقيم"/>
    <s v="2002297089"/>
    <s v="محمود   فضل خان"/>
    <s v="INV025393370"/>
    <x v="161"/>
    <x v="1"/>
    <s v="عالي"/>
    <s v="مجموعة عمل الأمراض المعدية الآخرى"/>
    <s v="*الملاريا"/>
    <s v="حالة"/>
    <x v="0"/>
    <s v="حالة منتهية لا تتطلب اجراء اضافي"/>
    <x v="0"/>
    <s v="المديرية العامة للشؤون الصحية في المدينة المنورة"/>
    <s v="منطقة المدينة المنورة"/>
    <s v="الخدمات الصحية بمدينة العلا"/>
    <s v="المديرية العامة للشؤون الصحية في المدينة المنورة"/>
    <s v="1968-07-01"/>
    <s v="57"/>
    <s v="ذكر"/>
    <x v="0"/>
    <s v="504304698"/>
    <s v="Recovered"/>
    <s v="Nov 24 2025 12:00AM"/>
    <s v="مغلق"/>
    <s v="N/A"/>
    <s v="N/A"/>
    <s v="N/A"/>
    <s v="N/A"/>
    <s v="N/A"/>
    <s v="02-050-0525720"/>
    <s v="Nov 19 2025  2:35PM"/>
  </r>
  <r>
    <s v="أخرى"/>
    <s v="B04057582"/>
    <s v="Sharifa   Abdulkadir"/>
    <s v="INV025393565"/>
    <x v="161"/>
    <x v="2"/>
    <s v="N/A"/>
    <s v="مجموعة عمل الأمراض المعدية الآخرى"/>
    <s v="*الملاريا"/>
    <s v="بلاغ أولي"/>
    <x v="1"/>
    <s v="يوجد خطأ في ما تم إدخاله"/>
    <x v="34"/>
    <s v="المديرية العامة للشؤون الصحية في المدينة المنورة"/>
    <s v="منطقة المدينة المنورة"/>
    <s v="مركز السلام للرعاية الصحية الأولية"/>
    <s v="المديرية العامة للشؤون الصحية في المدينة المنورة"/>
    <s v="2000-01-01"/>
    <s v="25"/>
    <s v="انثى"/>
    <x v="15"/>
    <s v="583798630"/>
    <s v="N/A"/>
    <s v="N/A"/>
    <s v="مغلق"/>
    <s v="N/A"/>
    <s v="N/A"/>
    <s v="N/A"/>
    <s v="N/A"/>
    <s v="N/A"/>
    <s v="N/A"/>
    <s v="N/A"/>
  </r>
  <r>
    <s v="مقيم"/>
    <s v="2289821981"/>
    <s v="محمد البشير ناصر البشير"/>
    <s v="INV025394290"/>
    <x v="162"/>
    <x v="0"/>
    <s v="منخفض"/>
    <s v="مجموعة عمل الأمراض المعدية الآخرى"/>
    <s v="*الملاريا"/>
    <s v="حالة"/>
    <x v="0"/>
    <s v="حالة منتهية لا تتطلب اجراء اضافي"/>
    <x v="1"/>
    <s v="المديرية العامة للشؤون الصحية في المدينة المنورة"/>
    <s v="منطقة المدينة المنورة"/>
    <s v="مركز صحي باب جبريل للرعاية الصحية الأولية"/>
    <s v="المديرية العامة للشؤون الصحية في المدينة المنورة"/>
    <s v="1980-01-01"/>
    <s v="45"/>
    <s v="ذكر"/>
    <x v="2"/>
    <s v="530125195"/>
    <s v="N/A"/>
    <s v="N/A"/>
    <s v="مغلق"/>
    <s v="N/A"/>
    <s v="N/A"/>
    <s v="N/A"/>
    <s v="N/A"/>
    <s v="N/A"/>
    <s v="02-050-0526630"/>
    <s v="Nov 20 2025  2:18PM"/>
  </r>
  <r>
    <s v="مقيم"/>
    <s v="2579896453"/>
    <s v="عوانة محمد احمد عوانة شاجره"/>
    <s v="INV025395259"/>
    <x v="163"/>
    <x v="1"/>
    <s v="عالي"/>
    <s v="مجموعة عمل الأمراض المعدية الآخرى"/>
    <s v="*الملاريا"/>
    <s v="حالة"/>
    <x v="0"/>
    <s v="حالة منتهية لا تتطلب اجراء اضافي"/>
    <x v="0"/>
    <s v="المديرية العامة للشؤون الصحية في المدينة المنورة"/>
    <s v="منطقة المدينة المنورة"/>
    <s v="مركز الاصيفرين"/>
    <s v="المديرية العامة للشؤون الصحية في المدينة المنورة"/>
    <s v="1999-01-01"/>
    <s v="26"/>
    <s v="ذكر"/>
    <x v="7"/>
    <s v="535198793"/>
    <s v="N/A"/>
    <s v="N/A"/>
    <s v="مغلق"/>
    <s v="N/A"/>
    <s v="N/A"/>
    <s v="N/A"/>
    <s v="N/A"/>
    <s v="N/A"/>
    <s v="02-050-0527494"/>
    <s v="Nov 23 2025  8:25AM"/>
  </r>
  <r>
    <s v="أخرى"/>
    <s v="EQ199164"/>
    <s v="Usman sayed  Ali"/>
    <s v="INV025396592"/>
    <x v="164"/>
    <x v="0"/>
    <s v="عالي"/>
    <s v="مجموعة عمل الأمراض المعدية الآخرى"/>
    <s v="*الملاريا"/>
    <s v="حالة"/>
    <x v="0"/>
    <s v="تنويم"/>
    <x v="0"/>
    <s v="المديرية العامة للشؤون الصحية في المدينة المنورة"/>
    <s v="منطقة المدينة المنورة"/>
    <s v="مستشفى الميقات العام"/>
    <s v="المديرية العامة للشؤون الصحية في المدينة المنورة"/>
    <s v="1999-12-21"/>
    <s v="25"/>
    <s v="ذكر"/>
    <x v="1"/>
    <s v="599018704"/>
    <s v="N/A"/>
    <s v="N/A"/>
    <s v="مغلق"/>
    <s v="N/A"/>
    <s v="N/A"/>
    <s v="N/A"/>
    <s v="حمى "/>
    <s v="Nov 20 2025 12:00AM"/>
    <s v="02-050-0528793"/>
    <s v="Nov 24 2025  8:25AM"/>
  </r>
  <r>
    <s v="أخرى"/>
    <s v="EQ2873983"/>
    <s v="باهر احمد  عثمان"/>
    <s v="INV025396744"/>
    <x v="164"/>
    <x v="1"/>
    <s v="متوسط"/>
    <s v="مجموعة عمل الأمراض المعدية الآخرى"/>
    <s v="*الملاريا"/>
    <s v="حالة"/>
    <x v="0"/>
    <s v="حالة منتهية لا تتطلب اجراء اضافي"/>
    <x v="8"/>
    <s v="المديرية العامة للشؤون الصحية في المدينة المنورة"/>
    <s v="منطقة المدينة المنورة"/>
    <s v="مركز صحي بدر"/>
    <s v="المديرية العامة للشؤون الصحية في المدينة المنورة"/>
    <s v="2001-08-26"/>
    <s v="24"/>
    <s v="ذكر"/>
    <x v="1"/>
    <s v="556624626"/>
    <s v="N/A"/>
    <s v="N/A"/>
    <s v="مغلق"/>
    <s v="N/A"/>
    <s v="N/A"/>
    <s v="N/A"/>
    <s v="N/A"/>
    <s v="N/A"/>
    <s v="02-050-0528969"/>
    <s v="Nov 24 2025  9:32AM"/>
  </r>
  <r>
    <s v="أخرى"/>
    <s v="B03013536"/>
    <s v="عبدالله موسى موسى كابو"/>
    <s v="INV025397027"/>
    <x v="164"/>
    <x v="1"/>
    <s v="عالي جدًا - معتمر من الخارج"/>
    <s v="مجموعة عمل الأمراض المعدية الآخرى"/>
    <s v="*الملاريا"/>
    <s v="حالة"/>
    <x v="0"/>
    <s v="حالة منتهية لا تتطلب اجراء اضافي"/>
    <x v="5"/>
    <s v="المديرية العامة للشؤون الصحية في المدينة المنورة"/>
    <s v="منطقة المدينة المنورة"/>
    <s v="مركز صحي باب المجيدي الدائم"/>
    <s v="المديرية العامة للشؤون الصحية في المدينة المنورة"/>
    <s v="2006-10-22"/>
    <s v="19"/>
    <s v="ذكر"/>
    <x v="15"/>
    <s v="539680449"/>
    <s v="Recovered"/>
    <s v="Nov 27 2025 12:00AM"/>
    <s v="مغلق"/>
    <s v="N/A"/>
    <s v="N/A"/>
    <s v="N/A"/>
    <s v=" intermittent Fever"/>
    <s v="Nov 25 2025 12:00AM"/>
    <s v="02-050-0529208"/>
    <s v="Nov 24 2025 11:10AM"/>
  </r>
  <r>
    <s v="أخرى"/>
    <s v="EQ2570960"/>
    <s v="Kedir   Yimer"/>
    <s v="INV025397845"/>
    <x v="165"/>
    <x v="1"/>
    <s v="عالي"/>
    <s v="مجموعة عمل الأمراض المعدية الآخرى"/>
    <s v="*الملاريا"/>
    <s v="حالة"/>
    <x v="3"/>
    <s v="تحت الإجراء"/>
    <x v="4"/>
    <s v="المديرية العامة للشؤون الصحية في المدينة المنورة"/>
    <s v="منطقة المدينة المنورة"/>
    <s v="مركز وعيرة للرعاية الصحية الاولية"/>
    <s v="المديرية العامة للشؤون الصحية في المدينة المنورة"/>
    <s v="2000-02-15"/>
    <s v="25"/>
    <s v="ذكر"/>
    <x v="1"/>
    <s v="554355838"/>
    <s v="N/A"/>
    <s v="N/A"/>
    <s v="مفتوح"/>
    <s v="N/A"/>
    <s v="N/A"/>
    <s v="N/A"/>
    <s v="N/A"/>
    <s v="N/A"/>
    <s v="02-050-0532998"/>
    <s v="Nov 30 2025  9:31AM"/>
  </r>
  <r>
    <s v="أخرى"/>
    <s v="EQ2842346"/>
    <s v="Zinashi Mamo  Mache"/>
    <s v="INV025398841"/>
    <x v="166"/>
    <x v="2"/>
    <s v="متوسط"/>
    <s v="مجموعة عمل الأمراض المعدية الآخرى"/>
    <s v="*الملاريا"/>
    <s v="حالة"/>
    <x v="1"/>
    <s v="حالة منتهية لا تتطلب اجراء اضافي"/>
    <x v="32"/>
    <s v="المديرية العامة للشؤون الصحية في المدينة المنورة"/>
    <s v="منطقة المدينة المنورة"/>
    <s v="وحدة الأمراض المعدية"/>
    <s v="المديرية العامة للشؤون الصحية في المدينة المنورة"/>
    <s v="1994-06-17"/>
    <s v="31"/>
    <s v="انثى"/>
    <x v="1"/>
    <s v="500548895"/>
    <s v="N/A"/>
    <s v="N/A"/>
    <s v="مغلق"/>
    <s v="N/A"/>
    <s v="N/A"/>
    <s v="N/A"/>
    <s v="N/A"/>
    <s v="N/A"/>
    <s v="02-050-0530959,02-050-0530962"/>
    <s v="Nov 26 2025 11:18AM,Nov 26 2025 11:22AM"/>
  </r>
  <r>
    <s v="أخرى"/>
    <s v="EQ1610172"/>
    <s v="محب   نسرو"/>
    <s v="INV025400463"/>
    <x v="167"/>
    <x v="0"/>
    <s v="متوسط"/>
    <s v="مجموعة عمل الأمراض المعدية الآخرى"/>
    <s v="*الملاريا"/>
    <s v="حالة"/>
    <x v="2"/>
    <s v="تنويم"/>
    <x v="8"/>
    <s v="المديرية العامة للشؤون الصحية في المدينة المنورة"/>
    <s v="منطقة المدينة المنورة"/>
    <s v="مركز صحي الواسطة"/>
    <s v="المديرية العامة للشؤون الصحية في المدينة المنورة"/>
    <s v="1997-05-23"/>
    <s v="28"/>
    <s v="ذكر"/>
    <x v="1"/>
    <s v="567705051"/>
    <s v="N/A"/>
    <s v="N/A"/>
    <s v="مفتوح"/>
    <s v="N/A"/>
    <s v="N/A"/>
    <s v="N/A"/>
    <s v="N/A"/>
    <s v="N/A"/>
    <s v="02-050-0532545"/>
    <s v="Nov 29 2025 12:35PM"/>
  </r>
  <r>
    <s v="مقيم"/>
    <s v="2619959188"/>
    <s v="جبري   جبري"/>
    <s v="INV025401021"/>
    <x v="168"/>
    <x v="1"/>
    <s v="متوسط"/>
    <s v="مجموعة عمل الأمراض المعدية الآخرى"/>
    <s v="*الملاريا"/>
    <s v="حالة"/>
    <x v="2"/>
    <s v="معلَق"/>
    <x v="5"/>
    <s v="المديرية العامة للشؤون الصحية في المدينة المنورة"/>
    <s v="منطقة المدينة المنورة"/>
    <s v="قسم نواقل المرض والأمراض المشتركة بتجمع المدينة"/>
    <s v="المديرية العامة للشؤون الصحية في المدينة المنورة"/>
    <s v="1999-10-31"/>
    <s v="26"/>
    <s v="ذكر"/>
    <x v="1"/>
    <s v="532791268"/>
    <s v="N/A"/>
    <s v="N/A"/>
    <s v="مفتوح"/>
    <s v="N/A"/>
    <s v="N/A"/>
    <s v="N/A"/>
    <s v="N/A"/>
    <s v="N/A"/>
    <s v="02-050-0533017,02-050-0533205"/>
    <s v="Nov 30 2025  9:39AM,Nov 30 2025 10:43AM"/>
  </r>
  <r>
    <s v="مواطن"/>
    <s v="1030977712"/>
    <s v="غزوى حميدان محمد الحربي"/>
    <s v="INV025401314"/>
    <x v="168"/>
    <x v="1"/>
    <s v="متوسط"/>
    <s v="مجموعة عمل الأمراض المعدية الآخرى"/>
    <s v="*الملاريا"/>
    <s v="حالة"/>
    <x v="2"/>
    <s v="معلَق"/>
    <x v="5"/>
    <s v="المديرية العامة للشؤون الصحية في المدينة المنورة"/>
    <s v="منطقة المدينة المنورة"/>
    <s v="مركز الرعايةالصحية الاولية بالفقير"/>
    <s v="المديرية العامة للشؤون الصحية في المدينة المنورة"/>
    <s v="1961-12-08"/>
    <s v="64"/>
    <s v="انثى"/>
    <x v="4"/>
    <s v="533937634"/>
    <s v="N/A"/>
    <s v="N/A"/>
    <s v="مفتوح"/>
    <s v="N/A"/>
    <s v="N/A"/>
    <s v="N/A"/>
    <s v="N/A"/>
    <s v="N/A"/>
    <s v="02-050-0533286"/>
    <s v="Nov 30 2025 11:08AM"/>
  </r>
  <r>
    <s v="أخرى"/>
    <s v="EQ1259069"/>
    <s v="رحمه   عبدالله"/>
    <s v="INV025401561"/>
    <x v="168"/>
    <x v="1"/>
    <s v="متوسط"/>
    <s v="مجموعة عمل الأمراض المعدية الآخرى"/>
    <s v="*الملاريا"/>
    <s v="حالة"/>
    <x v="0"/>
    <s v="تنويم"/>
    <x v="0"/>
    <s v="المديرية العامة للشؤون الصحية في المدينة المنورة"/>
    <s v="منطقة المدينة المنورة"/>
    <s v="مستشفى الميقات العام"/>
    <s v="المديرية العامة للشؤون الصحية في المدينة المنورة"/>
    <s v="1999-01-28"/>
    <s v="26"/>
    <s v="انثى"/>
    <x v="1"/>
    <s v="509289068"/>
    <s v="N/A"/>
    <s v="N/A"/>
    <s v="مفتوح"/>
    <s v="N/A"/>
    <s v="N/A"/>
    <s v="N/A"/>
    <s v="N/A"/>
    <s v="N/A"/>
    <s v="02-050-0533505"/>
    <s v="Nov 30 2025  1:02PM"/>
  </r>
  <r>
    <s v="أخرى"/>
    <s v="EQ2431703"/>
    <s v="Kmid Zemesha  Zemesha"/>
    <s v="INV025402211"/>
    <x v="169"/>
    <x v="2"/>
    <s v="متوسط"/>
    <s v="مجموعة عمل الأمراض المعدية الآخرى"/>
    <s v="*الملاريا"/>
    <s v="حالة"/>
    <x v="2"/>
    <s v="معلَق"/>
    <x v="5"/>
    <s v="المديرية العامة للشؤون الصحية في المدينة المنورة"/>
    <s v="منطقة المدينة المنورة"/>
    <s v="مركز صحي طيبة"/>
    <s v="المديرية العامة للشؤون الصحية في المدينة المنورة"/>
    <s v="2002-11-01"/>
    <s v="23"/>
    <s v="انثى"/>
    <x v="1"/>
    <s v="557434392"/>
    <s v="N/A"/>
    <s v="N/A"/>
    <s v="مفتوح"/>
    <s v="N/A"/>
    <s v="N/A"/>
    <s v="N/A"/>
    <s v="Vomiting,Nausea,Fatigue"/>
    <s v="Dec  1 2025 12:00AM,Dec  1 2025 12:00AM,Dec  1 2025 12:00AM"/>
    <s v="02-050-0534157"/>
    <s v="Dec  1 2025  8:47AM"/>
  </r>
  <r>
    <s v="مقيم"/>
    <s v="2516342694"/>
    <s v="الصديق ادم ابكر عثمان"/>
    <s v="INV025402227"/>
    <x v="169"/>
    <x v="2"/>
    <s v="متوسط"/>
    <s v="مجموعة عمل الأمراض المعدية الآخرى"/>
    <s v="*الملاريا"/>
    <s v="حالة"/>
    <x v="2"/>
    <s v="معلَق"/>
    <x v="5"/>
    <s v="المديرية العامة للشؤون الصحية في المدينة المنورة"/>
    <s v="منطقة المدينة المنورة"/>
    <s v="مركز شجوى للرعاية الصحية الاولية"/>
    <s v="المديرية العامة للشؤون الصحية في المدينة المنورة"/>
    <s v="1984-01-01"/>
    <s v="41"/>
    <s v="ذكر"/>
    <x v="2"/>
    <s v="558781924"/>
    <s v="N/A"/>
    <s v="N/A"/>
    <s v="مفتوح"/>
    <s v="N/A"/>
    <s v="N/A"/>
    <s v="N/A"/>
    <s v="صداع , intermittent Fever"/>
    <s v="Dec  1 2025 12:00AM,Dec  1 2025 12:00AM"/>
    <s v="02-050-0534177,02-050-0534180"/>
    <s v="Dec  1 2025  8:53AM,Dec  1 2025  8:54AM"/>
  </r>
  <r>
    <s v="أخرى"/>
    <s v="EQ2790683"/>
    <s v="خديجه حسين  حسين"/>
    <s v="INV025402379"/>
    <x v="169"/>
    <x v="1"/>
    <s v="عالي"/>
    <s v="مجموعة عمل الأمراض المعدية الآخرى"/>
    <s v="*الملاريا"/>
    <s v="حالة"/>
    <x v="2"/>
    <s v="معلَق"/>
    <x v="6"/>
    <s v="المديرية العامة للشؤون الصحية في المدينة المنورة"/>
    <s v="منطقة المدينة المنورة"/>
    <s v="مركز الرعايةالصحية الاولية بالفقير"/>
    <s v="المديرية العامة للشؤون الصحية في المدينة المنورة"/>
    <s v="1998-08-12"/>
    <s v="27"/>
    <s v="انثى"/>
    <x v="1"/>
    <s v="531310788"/>
    <s v="N/A"/>
    <s v="N/A"/>
    <s v="مفتوح"/>
    <s v="N/A"/>
    <s v="N/A"/>
    <s v="N/A"/>
    <s v="N/A"/>
    <s v="N/A"/>
    <s v="02-050-0534350"/>
    <s v="Dec  1 2025  9:58AM"/>
  </r>
  <r>
    <s v="مقيم"/>
    <s v="2553654571"/>
    <s v="جيهان زيب   مير كلام"/>
    <s v="INV025402411"/>
    <x v="169"/>
    <x v="1"/>
    <s v="N/A"/>
    <s v="مجموعة عمل الأمراض المعدية الآخرى"/>
    <s v="*الملاريا"/>
    <s v="حالة"/>
    <x v="2"/>
    <s v="تنويم"/>
    <x v="15"/>
    <s v="المديرية العامة للشؤون الصحية في المدينة المنورة"/>
    <s v="منطقة المدينة المنورة"/>
    <s v="مستشفى الامير عبدالمحسن بالعلا"/>
    <s v="المديرية العامة للشؤون الصحية في المدينة المنورة"/>
    <s v="2002-03-05"/>
    <s v="23"/>
    <s v="ذكر"/>
    <x v="0"/>
    <s v="580497291"/>
    <s v="N/A"/>
    <s v="N/A"/>
    <s v="مفتوح"/>
    <s v="N/A"/>
    <s v="N/A"/>
    <s v="N/A"/>
    <s v="N/A"/>
    <s v="N/A"/>
    <s v="02-050-0534363"/>
    <s v="Dec  1 2025 10:03AM"/>
  </r>
  <r>
    <s v="مقيم"/>
    <s v="2616235228"/>
    <s v="محمد صموئيل  الاسلام"/>
    <s v="INV025402431"/>
    <x v="169"/>
    <x v="1"/>
    <s v="عالي"/>
    <s v="مجموعة عمل الأمراض المعدية الآخرى"/>
    <s v="*الملاريا"/>
    <s v="حالة"/>
    <x v="2"/>
    <s v="تنويم"/>
    <x v="4"/>
    <s v="المديرية العامة للشؤون الصحية في المدينة المنورة"/>
    <s v="منطقة المدينة المنورة"/>
    <s v="وحدة الأمراض المعدية"/>
    <s v="المديرية العامة للشؤون الصحية في المدينة المنورة"/>
    <s v="2004-04-02"/>
    <s v="21"/>
    <s v="ذكر"/>
    <x v="11"/>
    <s v="571722455"/>
    <s v="N/A"/>
    <s v="N/A"/>
    <s v="مفتوح"/>
    <s v="N/A"/>
    <s v="N/A"/>
    <s v="N/A"/>
    <s v=" intermittent Fever"/>
    <s v="Nov 28 2025 12:00AM"/>
    <s v="02-050-0534523"/>
    <s v="Dec  1 2025 10:59AM"/>
  </r>
  <r>
    <s v="أخرى"/>
    <s v="6144749303"/>
    <s v="فاطمة احمد محمد احمد"/>
    <s v="INV025403114"/>
    <x v="169"/>
    <x v="1"/>
    <s v="عالي"/>
    <s v="مجموعة عمل الأمراض المعدية الآخرى"/>
    <s v="*الملاريا"/>
    <s v="حالة"/>
    <x v="0"/>
    <s v="تنويم"/>
    <x v="29"/>
    <s v="المديرية العامة للشؤون الصحية في المدينة المنورة"/>
    <s v="منطقة المدينة المنورة"/>
    <s v="مستشفى احد"/>
    <s v="المديرية العامة للشؤون الصحية في المدينة المنورة"/>
    <s v="2005-06-01"/>
    <s v="20"/>
    <s v="انثى"/>
    <x v="2"/>
    <s v="543166681"/>
    <s v="N/A"/>
    <s v="N/A"/>
    <s v="مفتوح"/>
    <s v="N/A"/>
    <s v="N/A"/>
    <s v="N/A"/>
    <s v="N/A"/>
    <s v="N/A"/>
    <s v="02-050-0535087"/>
    <s v="Dec  2 2025  4:20AM"/>
  </r>
  <r>
    <s v="أخرى"/>
    <s v="61492323071"/>
    <s v="فيتيل   ابا"/>
    <s v="INV025404588"/>
    <x v="170"/>
    <x v="0"/>
    <s v="عالي"/>
    <s v="مجموعة عمل الأمراض المعدية الآخرى"/>
    <s v="*الملاريا"/>
    <s v="حالة"/>
    <x v="2"/>
    <s v="تنويم"/>
    <x v="0"/>
    <s v="المديرية العامة للشؤون الصحية في المدينة المنورة"/>
    <s v="منطقة المدينة المنورة"/>
    <s v="مستشفى الميقات العام"/>
    <s v="المديرية العامة للشؤون الصحية في المدينة المنورة"/>
    <s v="2002-11-26"/>
    <s v="23"/>
    <s v="انثى"/>
    <x v="1"/>
    <s v="594931383"/>
    <s v="N/A"/>
    <s v="N/A"/>
    <s v="مفتوح"/>
    <s v="N/A"/>
    <s v="N/A"/>
    <s v="N/A"/>
    <s v="N/A"/>
    <s v="N/A"/>
    <s v="02-050-0536665"/>
    <s v="Dec  3 2025  1:33PM"/>
  </r>
  <r>
    <s v="أخرى"/>
    <s v="GJ6272751"/>
    <s v="Safa   Hammad"/>
    <s v="INV025404921"/>
    <x v="171"/>
    <x v="1"/>
    <s v="عالي جدًا - معتمر من الخارج"/>
    <s v="مجموعة عمل الأمراض المعدية الآخرى"/>
    <s v="*الملاريا"/>
    <s v="حالة"/>
    <x v="2"/>
    <s v="تحت الإجراء"/>
    <x v="23"/>
    <s v="المديرية العامة للشؤون الصحية في المدينة المنورة"/>
    <s v="منطقة المدينة المنورة"/>
    <s v="مستشفى الحرم الميداني"/>
    <s v="المديرية العامة للشؤون الصحية في المدينة المنورة"/>
    <s v="2007-02-07"/>
    <s v="18"/>
    <s v="انثى"/>
    <x v="0"/>
    <s v="542337711"/>
    <s v="N/A"/>
    <s v="N/A"/>
    <s v="مفتوح"/>
    <s v="N/A"/>
    <s v="N/A"/>
    <s v="N/A"/>
    <s v="N/A"/>
    <s v="N/A"/>
    <s v="02-050-0536981"/>
    <s v="Dec  4 2025  2:14AM"/>
  </r>
  <r>
    <s v="مقيم"/>
    <s v="2499405112"/>
    <s v="علي بابكر بشير علي"/>
    <s v="INV025406603"/>
    <x v="172"/>
    <x v="0"/>
    <s v="متوسط"/>
    <s v="مجموعة عمل الأمراض المعدية الآخرى"/>
    <s v="*الملاريا"/>
    <s v="بلاغ أولي"/>
    <x v="2"/>
    <s v="تحت الإجراء"/>
    <x v="17"/>
    <s v="المديرية العامة للشؤون الصحية في المدينة المنورة"/>
    <s v="منطقة المدينة المنورة"/>
    <s v="مركز صحي الشقرة للرعاية الصحية الأولية"/>
    <s v="المديرية العامة للشؤون الصحية في المدينة المنورة"/>
    <s v="1983-01-01"/>
    <s v="42"/>
    <s v="ذكر"/>
    <x v="2"/>
    <s v="548959925"/>
    <s v="N/A"/>
    <s v="N/A"/>
    <s v="مفتوح"/>
    <s v="N/A"/>
    <s v="N/A"/>
    <s v="N/A"/>
    <s v="N/A"/>
    <s v="N/A"/>
    <s v="02-050-0538795"/>
    <s v="Dec  7 2025 10:33AM"/>
  </r>
  <r>
    <s v="أخرى"/>
    <s v="P12974773"/>
    <s v="فدوى خلف الله  عليان"/>
    <s v="INV025406991"/>
    <x v="172"/>
    <x v="0"/>
    <s v="متوسط"/>
    <s v="مجموعة عمل الأمراض المعدية الآخرى"/>
    <s v="*الملاريا"/>
    <s v="بلاغ أولي"/>
    <x v="2"/>
    <s v="تحت الإجراء"/>
    <x v="17"/>
    <s v="المديرية العامة للشؤون الصحية في المدينة المنورة"/>
    <s v="منطقة المدينة المنورة"/>
    <s v="مركز صحي الحناكية للرعاية الصحية الأولية"/>
    <s v="المديرية العامة للشؤون الصحية في المدينة المنورة"/>
    <s v="1994-10-24"/>
    <s v="31"/>
    <s v="انثى"/>
    <x v="2"/>
    <s v="535192453"/>
    <s v="N/A"/>
    <s v="N/A"/>
    <s v="مفتوح"/>
    <s v="N/A"/>
    <s v="N/A"/>
    <s v="N/A"/>
    <s v="N/A"/>
    <s v="N/A"/>
    <s v="02-050-0538949"/>
    <s v="Dec  7 2025 11:32AM"/>
  </r>
  <r>
    <s v="أخرى"/>
    <s v="T4639991"/>
    <s v="Nikesh Arjun  Solanki"/>
    <s v="INV025407778"/>
    <x v="173"/>
    <x v="0"/>
    <s v="عالي جدًا - معتمر من الخارج"/>
    <s v="مجموعة عمل الأمراض المعدية الآخرى"/>
    <s v="*الملاريا"/>
    <s v="حالة"/>
    <x v="2"/>
    <s v="معلَق"/>
    <x v="5"/>
    <s v="المديرية العامة للشؤون الصحية في المدينة المنورة"/>
    <s v="منطقة المدينة المنورة"/>
    <s v="قسم نواقل المرض والأمراض المشتركة بتجمع المدينة"/>
    <s v="المديرية العامة للشؤون الصحية في المدينة المنورة"/>
    <s v="1983-09-23"/>
    <s v="42"/>
    <s v="ذكر"/>
    <x v="12"/>
    <s v="539680449"/>
    <s v="N/A"/>
    <s v="N/A"/>
    <s v="مفتوح"/>
    <s v="N/A"/>
    <s v="N/A"/>
    <s v="N/A"/>
    <s v="Vomiting, intermittent Fever"/>
    <s v="Dec  8 2025 12:00AM,Dec  8 2025 12:00AM"/>
    <s v="02-050-0539774"/>
    <s v="Dec  8 2025  9:22AM"/>
  </r>
  <r>
    <s v="أخرى"/>
    <s v="AD1606133"/>
    <s v="DANAL   ALI"/>
    <s v="INV025408235"/>
    <x v="173"/>
    <x v="0"/>
    <s v="عالي"/>
    <s v="مجموعة عمل الأمراض المعدية الآخرى"/>
    <s v="*الملاريا"/>
    <s v="حالة"/>
    <x v="2"/>
    <s v="حالة منتهية لا تتطلب اجراء اضافي"/>
    <x v="0"/>
    <s v="المديرية العامة للشؤون الصحية في المدينة المنورة"/>
    <s v="منطقة المدينة المنورة"/>
    <s v="مستشفى الميقات العام"/>
    <s v="المديرية العامة للشؤون الصحية في المدينة المنورة"/>
    <s v="2001-02-23"/>
    <s v="24"/>
    <s v="ذكر"/>
    <x v="0"/>
    <s v="587687761"/>
    <s v="N/A"/>
    <s v="N/A"/>
    <s v="مفتوح"/>
    <s v="N/A"/>
    <s v="N/A"/>
    <s v="N/A"/>
    <s v="صداع , intermittent Fever"/>
    <s v="Dec  7 2025 12:00AM,Dec  7 2025 12:00AM"/>
    <s v="02-050-0540310"/>
    <s v="Dec  8 2025  1:17PM"/>
  </r>
  <r>
    <s v="أخرى"/>
    <s v="3794095"/>
    <s v="ABD EL WAHAB AHMED ALI KHAIRULLAH"/>
    <s v="INV025409251"/>
    <x v="174"/>
    <x v="1"/>
    <s v="عالي جدًا - معتمر من الخارج"/>
    <s v="مجموعة عمل الأمراض المعدية الآخرى"/>
    <s v="*الملاريا"/>
    <s v="حالة"/>
    <x v="0"/>
    <s v="تنويم"/>
    <x v="29"/>
    <s v="المديرية العامة للشؤون الصحية في المدينة المنورة"/>
    <s v="منطقة المدينة المنورة"/>
    <s v="مستشفى احد"/>
    <s v="المديرية العامة للشؤون الصحية في المدينة المنورة"/>
    <s v="2017-02-13"/>
    <s v="8"/>
    <s v="ذكر"/>
    <x v="2"/>
    <s v="503295090"/>
    <s v="N/A"/>
    <s v="N/A"/>
    <s v="مفتوح"/>
    <s v="N/A"/>
    <s v="N/A"/>
    <s v="N/A"/>
    <s v="N/A"/>
    <s v="N/A"/>
    <s v="02-050-0541641,02-050-0541796"/>
    <s v="Dec 10 2025  4:21AM,Dec 10 2025  8:59AM"/>
  </r>
  <r>
    <s v="أخرى"/>
    <s v="P13060355"/>
    <s v="MAREEM   SALAH ELHASSAN"/>
    <s v="INV025410144"/>
    <x v="175"/>
    <x v="0"/>
    <s v="N/A"/>
    <s v="مجموعة عمل الأمراض المعدية الآخرى"/>
    <s v="*الملاريا"/>
    <s v="حالة"/>
    <x v="2"/>
    <s v="تنويم"/>
    <x v="0"/>
    <s v="المديرية العامة للشؤون الصحية في المدينة المنورة"/>
    <s v="منطقة المدينة المنورة"/>
    <s v="مستشفى الميقات العام"/>
    <s v="المديرية العامة للشؤون الصحية في المدينة المنورة"/>
    <s v="2002-07-20"/>
    <s v="23"/>
    <s v="انثى"/>
    <x v="2"/>
    <s v="532097702"/>
    <s v="N/A"/>
    <s v="N/A"/>
    <s v="مفتوح"/>
    <s v="N/A"/>
    <s v="N/A"/>
    <s v="N/A"/>
    <s v="صداع , intermittent Fever,nausia"/>
    <s v="Dec 10 2025 12:00AM,Dec 10 2025 12:00AM,Dec 10 2025 12:00AM"/>
    <s v="02-050-0542393"/>
    <s v="Dec 10 2025  1:55PM"/>
  </r>
  <r>
    <s v="أخرى"/>
    <s v="9011059745"/>
    <s v="قيتاون   منقشه"/>
    <s v="INV025411212"/>
    <x v="176"/>
    <x v="1"/>
    <s v="N/A"/>
    <s v="مجموعة عمل الأمراض المعدية الآخرى"/>
    <s v="*الملاريا"/>
    <s v="بلاغ أولي"/>
    <x v="0"/>
    <s v="تحت الإجراء"/>
    <x v="36"/>
    <s v="المديرية العامة للشؤون الصحية في المدينة المنورة"/>
    <s v="منطقة المدينة المنورة"/>
    <s v="المركز الصحي لقوى الأمن بالسجن العام بالمدينة المنورة"/>
    <s v="المديرية العامة للشؤون الصحية في المدينة المنورة"/>
    <s v="2000-04-13"/>
    <s v="25"/>
    <s v="ذكر"/>
    <x v="1"/>
    <s v="555555555"/>
    <s v="N/A"/>
    <s v="N/A"/>
    <s v="مفتوح"/>
    <s v="N/A"/>
    <s v="N/A"/>
    <s v="N/A"/>
    <s v="N/A"/>
    <s v="N/A"/>
    <s v="02-050-0545679"/>
    <s v="Dec 15 2025 11:46AM"/>
  </r>
  <r>
    <s v="مقيم"/>
    <s v="2261292631"/>
    <s v="عباس ناجي عبيد النسري"/>
    <s v="INV025411879"/>
    <x v="177"/>
    <x v="1"/>
    <s v="عالي"/>
    <s v="مجموعة عمل الأمراض المعدية الآخرى"/>
    <s v="*الملاريا"/>
    <s v="حالة"/>
    <x v="0"/>
    <s v="حالة منتهية لا تتطلب اجراء اضافي"/>
    <x v="4"/>
    <s v="المديرية العامة للشؤون الصحية في المدينة المنورة"/>
    <s v="منطقة المدينة المنورة"/>
    <s v="مركز عروة للرعاية الصحية الاولية"/>
    <s v="المديرية العامة للشؤون الصحية في المدينة المنورة"/>
    <s v="1977-02-04"/>
    <s v="48"/>
    <s v="ذكر"/>
    <x v="7"/>
    <n v="530290905"/>
    <s v="N/A"/>
    <s v="N/A"/>
    <s v="مفتوح"/>
    <s v="N/A"/>
    <s v="N/A"/>
    <s v="N/A"/>
    <s v="N/A"/>
    <s v="N/A"/>
    <s v="02-050-0544727,02-050-0544734"/>
    <s v="Dec 14 2025 12:35PM,Dec 14 2025 12:42PM"/>
  </r>
  <r>
    <s v="مواطن"/>
    <s v="1121811911"/>
    <s v="نايف محمد نايف الحربي"/>
    <s v="INV025413368"/>
    <x v="178"/>
    <x v="8"/>
    <s v="N/A"/>
    <s v="مجموعة عمل الأمراض المعدية الآخرى"/>
    <s v="*الملاريا"/>
    <s v="بلاغ أولي"/>
    <x v="0"/>
    <s v="بلاغ أولي"/>
    <x v="17"/>
    <s v="المديرية العامة للشؤون الصحية في المدينة المنورة"/>
    <s v="منطقة المدينة المنورة"/>
    <s v="مركز صحي الحناكية للرعاية الصحية الأولية"/>
    <s v="المديرية العامة للشؤون الصحية في المدينة المنورة"/>
    <s v="2003-08-19"/>
    <s v="22"/>
    <s v="ذكر"/>
    <x v="4"/>
    <s v="554877003"/>
    <s v="N/A"/>
    <s v="N/A"/>
    <s v="مفتوح"/>
    <s v="N/A"/>
    <s v="N/A"/>
    <s v="N/A"/>
    <s v="N/A"/>
    <s v="N/A"/>
    <s v="02-050-0545651"/>
    <s v="Dec 15 2025 11:32AM"/>
  </r>
  <r>
    <s v="أخرى"/>
    <s v="3583119122"/>
    <s v="زارا هايشي  قلاتا"/>
    <s v="INV025413398"/>
    <x v="178"/>
    <x v="1"/>
    <s v="عالي"/>
    <s v="مجموعة عمل الأمراض المعدية الآخرى"/>
    <s v="*الملاريا"/>
    <s v="بلاغ أولي"/>
    <x v="2"/>
    <s v="تحت الإجراء"/>
    <x v="15"/>
    <s v="المديرية العامة للشؤون الصحية في المدينة المنورة"/>
    <s v="منطقة المدينة المنورة"/>
    <s v="مستشفى الامير عبدالمحسن بالعلا"/>
    <s v="المديرية العامة للشؤون الصحية في المدينة المنورة"/>
    <s v="2000-02-06"/>
    <s v="25"/>
    <s v="انثى"/>
    <x v="1"/>
    <s v="553376904"/>
    <s v="N/A"/>
    <s v="N/A"/>
    <s v="مفتوح"/>
    <s v="N/A"/>
    <s v="N/A"/>
    <s v="N/A"/>
    <s v="N/A"/>
    <s v="N/A"/>
    <s v="02-050-0549863"/>
    <s v="Dec 21 2025 11:29AM"/>
  </r>
  <r>
    <s v="مقيم"/>
    <s v="2622445043"/>
    <s v="بن يامين خان موسام خان"/>
    <s v="INV025413471"/>
    <x v="178"/>
    <x v="1"/>
    <s v="عالي جدًا - معتمر من الخارج"/>
    <s v="مجموعة عمل الأمراض المعدية الآخرى"/>
    <s v="*الملاريا"/>
    <s v="حالة"/>
    <x v="2"/>
    <s v="تحت الإجراء"/>
    <x v="1"/>
    <s v="المديرية العامة للشؤون الصحية في المدينة المنورة"/>
    <s v="منطقة المدينة المنورة"/>
    <s v="مستشفى السلام"/>
    <s v="المديرية العامة للشؤون الصحية في المدينة المنورة"/>
    <s v="1955-08-10"/>
    <s v="70"/>
    <s v="انثى"/>
    <x v="0"/>
    <s v="501836460"/>
    <s v="N/A"/>
    <s v="N/A"/>
    <s v="مفتوح"/>
    <s v="N/A"/>
    <s v="N/A"/>
    <s v="N/A"/>
    <s v="N/A"/>
    <s v="N/A"/>
    <s v="02-050-0548916"/>
    <s v="Dec 19 2025  6:20PM"/>
  </r>
  <r>
    <s v="أخرى"/>
    <s v="6151974351"/>
    <s v="MEKEYA YEMAM   YESUF"/>
    <s v="INV025414002"/>
    <x v="179"/>
    <x v="0"/>
    <s v="N/A"/>
    <s v="مجموعة عمل الأمراض المعدية الآخرى"/>
    <s v="*الملاريا"/>
    <s v="حالة"/>
    <x v="0"/>
    <s v="بلاغ أولي"/>
    <x v="35"/>
    <s v="المديرية العامة للشؤون الصحية في المدينة المنورة"/>
    <s v="منطقة المدينة المنورة"/>
    <s v="مجمع  سما الطبي"/>
    <s v="المديرية العامة للشؤون الصحية في المدينة المنورة"/>
    <s v="2006-11-07"/>
    <s v="19"/>
    <s v="ذكر"/>
    <x v="2"/>
    <s v="509377819"/>
    <s v="N/A"/>
    <s v="N/A"/>
    <s v="مفتوح"/>
    <s v="N/A"/>
    <s v="N/A"/>
    <s v="N/A"/>
    <s v="N/A"/>
    <s v="N/A"/>
    <s v="02-050-0546856"/>
    <s v="Dec 16 2025  3:25PM"/>
  </r>
  <r>
    <s v="أخرى"/>
    <s v="3578354965"/>
    <s v="Dirshaye Shume  Madebo"/>
    <s v="INV025414090"/>
    <x v="179"/>
    <x v="1"/>
    <s v="N/A"/>
    <s v="مجموعة عمل الأمراض المعدية الآخرى"/>
    <s v="*الملاريا"/>
    <s v="بلاغ أولي"/>
    <x v="2"/>
    <s v="بلاغ أولي"/>
    <x v="37"/>
    <s v="المديرية العامة للشؤون الصحية في المدينة المنورة"/>
    <s v="منطقة المدينة المنورة"/>
    <s v="مركز صحي حي الملك فهد بالمدينة المنورة"/>
    <s v="المديرية العامة للشؤون الصحية في المدينة المنورة"/>
    <s v="1997-09-23"/>
    <s v="28"/>
    <s v="انثى"/>
    <x v="1"/>
    <s v="561981404"/>
    <s v="N/A"/>
    <s v="N/A"/>
    <s v="مفتوح"/>
    <s v="N/A"/>
    <s v="N/A"/>
    <s v="N/A"/>
    <s v="N/A"/>
    <s v="N/A"/>
    <s v="02-050-0546302"/>
    <s v="Dec 16 2025  9:37AM"/>
  </r>
  <r>
    <s v="أخرى"/>
    <s v="P13255230"/>
    <s v="MOSTEFA   AHMED"/>
    <s v="INV025414619"/>
    <x v="179"/>
    <x v="0"/>
    <s v="عالي"/>
    <s v="مجموعة عمل الأمراض المعدية الآخرى"/>
    <s v="*الملاريا"/>
    <s v="حالة"/>
    <x v="0"/>
    <s v="حالة منتهية لا تتطلب اجراء اضافي"/>
    <x v="0"/>
    <s v="المديرية العامة للشؤون الصحية في المدينة المنورة"/>
    <s v="منطقة المدينة المنورة"/>
    <s v="مركز صحي القبلتين بني سلمه"/>
    <s v="المديرية العامة للشؤون الصحية في المدينة المنورة"/>
    <s v="1995-08-14"/>
    <s v="30"/>
    <s v="انثى"/>
    <x v="1"/>
    <s v="543001030"/>
    <s v="Recovered"/>
    <s v="Dec 18 2025 12:00AM"/>
    <s v="مغلق"/>
    <s v="N/A"/>
    <s v="N/A"/>
    <s v="N/A"/>
    <s v="N/A"/>
    <s v="N/A"/>
    <s v="02-050-0546203"/>
    <s v="Dec 16 2025  8:32AM"/>
  </r>
  <r>
    <s v="أخرى"/>
    <s v="6154582329"/>
    <s v="DILFAROZA KHAN   MUHAMMAD"/>
    <s v="INV025416605"/>
    <x v="180"/>
    <x v="1"/>
    <s v="N/A"/>
    <s v="مجموعة عمل الأمراض المعدية الآخرى"/>
    <s v="*الملاريا"/>
    <s v="بلاغ أولي"/>
    <x v="0"/>
    <s v="بلاغ أولي"/>
    <x v="17"/>
    <s v="المديرية العامة للشؤون الصحية في المدينة المنورة"/>
    <s v="منطقة المدينة المنورة"/>
    <s v="مركز صحي الحناكية للرعاية الصحية الأولية"/>
    <s v="المديرية العامة للشؤون الصحية في المدينة المنورة"/>
    <s v="1993-01-01"/>
    <s v="32"/>
    <s v="ذكر"/>
    <x v="0"/>
    <s v="501296091"/>
    <s v="N/A"/>
    <s v="N/A"/>
    <s v="مفتوح"/>
    <s v="N/A"/>
    <s v="N/A"/>
    <s v="N/A"/>
    <s v="N/A"/>
    <s v="N/A"/>
    <s v="02-050-0545689"/>
    <s v="Dec 15 2025 11:49AM"/>
  </r>
  <r>
    <s v="أخرى"/>
    <s v="EQ2165331"/>
    <s v="Medina Demeke Getachew GETACHEW"/>
    <s v="INV025417645"/>
    <x v="181"/>
    <x v="1"/>
    <s v="N/A"/>
    <s v="مجموعة عمل الأمراض المعدية الآخرى"/>
    <s v="*الملاريا"/>
    <s v="بلاغ أولي"/>
    <x v="0"/>
    <s v="بلاغ أولي"/>
    <x v="17"/>
    <s v="المديرية العامة للشؤون الصحية في المدينة المنورة"/>
    <s v="منطقة المدينة المنورة"/>
    <s v="مركز صحي الحناكية للرعاية الصحية الأولية"/>
    <s v="المديرية العامة للشؤون الصحية في المدينة المنورة"/>
    <s v="2000-09-07"/>
    <s v="25"/>
    <s v="انثى"/>
    <x v="1"/>
    <n v="553074922"/>
    <s v="N/A"/>
    <s v="N/A"/>
    <s v="مفتوح"/>
    <s v="N/A"/>
    <s v="N/A"/>
    <s v="N/A"/>
    <s v="N/A"/>
    <s v="N/A"/>
    <s v="02-050-0545643"/>
    <s v="Dec 15 2025 11:29AM"/>
  </r>
  <r>
    <s v="رقم حدود"/>
    <s v="3583578970"/>
    <s v="'-   -"/>
    <s v="INV025419250"/>
    <x v="182"/>
    <x v="9"/>
    <s v="عالي"/>
    <s v="مجموعة عمل الأمراض المعدية الآخرى"/>
    <s v="*الملاريا"/>
    <s v="حالة"/>
    <x v="0"/>
    <s v="بلاغ أولي"/>
    <x v="35"/>
    <s v="المديرية العامة للشؤون الصحية في المدينة المنورة"/>
    <s v="منطقة المدينة المنورة"/>
    <s v="مركز رعاية اولية الصريف"/>
    <s v="المديرية العامة للشؤون الصحية في المدينة المنورة"/>
    <s v="1995-04-23"/>
    <s v="30"/>
    <s v="انثى"/>
    <x v="6"/>
    <s v="504592599"/>
    <s v="N/A"/>
    <s v="N/A"/>
    <s v="مفتوح"/>
    <s v="N/A"/>
    <s v="N/A"/>
    <s v="N/A"/>
    <s v="N/A"/>
    <s v="N/A"/>
    <s v="02-050-0551657"/>
    <s v="Dec 22 2025  5:09PM"/>
  </r>
  <r>
    <s v="أخرى"/>
    <s v="6152272463"/>
    <s v="عبدالحميد شيخ الدين  مدثر"/>
    <s v="INV025421038"/>
    <x v="183"/>
    <x v="0"/>
    <s v="عالي جدًا - معتمر من الخارج"/>
    <s v="مجموعة عمل الأمراض المعدية الآخرى"/>
    <s v="*الملاريا"/>
    <s v="حالة"/>
    <x v="0"/>
    <s v="حالة منتهية لا تتطلب اجراء اضافي"/>
    <x v="0"/>
    <s v="المديرية العامة للشؤون الصحية في المدينة المنورة"/>
    <s v="منطقة المدينة المنورة"/>
    <s v="مركز صحي العزيزية"/>
    <s v="المديرية العامة للشؤون الصحية في المدينة المنورة"/>
    <s v="1995-10-21"/>
    <s v="30"/>
    <s v="ذكر"/>
    <x v="2"/>
    <s v="558344583"/>
    <s v="Recovered"/>
    <s v="Jan  1 2026 12:00AM"/>
    <s v="مغلق"/>
    <s v="N/A"/>
    <s v="N/A"/>
    <s v="N/A"/>
    <s v="Vomiting,Abdominal Pain"/>
    <s v="Dec 24 2025 12:00AM,Dec 24 2025 12:00AM"/>
    <s v="02-050-0553435,02-050-0553877"/>
    <s v="Dec 24 2025  1:28PM,Dec 25 2025  9:23AM"/>
  </r>
  <r>
    <s v="أخرى"/>
    <s v="P11077831"/>
    <s v="HASHIM SALEH   SAEED MOHAME"/>
    <s v="INV025422401"/>
    <x v="184"/>
    <x v="0"/>
    <s v="عالي جدًا - معتمر من الخارج"/>
    <s v="مجموعة عمل الأمراض المعدية الآخرى"/>
    <s v="*الملاريا"/>
    <s v="حالة"/>
    <x v="0"/>
    <s v="تحت الإجراء"/>
    <x v="26"/>
    <s v="المديرية العامة للشؤون الصحية في المدينة المنورة"/>
    <s v="منطقة المدينة المنورة"/>
    <s v="مركز صحي العوالي للرعاية الصحية الأولية بالمدينة المنورة"/>
    <s v="المديرية العامة للشؤون الصحية في المدينة المنورة"/>
    <s v="1955-01-01"/>
    <s v="71"/>
    <s v="ذكر"/>
    <x v="2"/>
    <s v="538418663"/>
    <s v="N/A"/>
    <s v="N/A"/>
    <s v="مفتوح"/>
    <s v="N/A"/>
    <s v="N/A"/>
    <s v="N/A"/>
    <s v=" intermittent Fever,chills"/>
    <s v="Dec 24 2025 12:00AM,Dec 24 2025 12:00AM"/>
    <s v="02-050-0554708"/>
    <s v="Dec 27 2025 10:16AM"/>
  </r>
  <r>
    <s v="أخرى"/>
    <s v="3611129168"/>
    <s v="FATUMAH   NAZZIWA"/>
    <s v="INV025422730"/>
    <x v="184"/>
    <x v="0"/>
    <s v="N/A"/>
    <s v="مجموعة عمل الأمراض المعدية الآخرى"/>
    <s v="*الملاريا"/>
    <s v="حالة"/>
    <x v="0"/>
    <s v="تحت الإجراء"/>
    <x v="37"/>
    <s v="المديرية العامة للشؤون الصحية في المدينة المنورة"/>
    <s v="منطقة المدينة المنورة"/>
    <s v="مركز السلام للرعاية الصحية الأولية"/>
    <s v="المديرية العامة للشؤون الصحية في المدينة المنورة"/>
    <s v="1996-10-14"/>
    <s v="29"/>
    <s v="انثى"/>
    <x v="3"/>
    <s v="509747108"/>
    <s v="N/A"/>
    <s v="N/A"/>
    <s v="مفتوح"/>
    <s v="N/A"/>
    <s v="N/A"/>
    <s v="N/A"/>
    <s v="N/A"/>
    <s v="N/A"/>
    <s v="02-050-0555038"/>
    <s v="Dec 27 2025 10:04PM"/>
  </r>
  <r>
    <s v="مقيم"/>
    <s v="2595972254"/>
    <s v="مجمد   حسين"/>
    <s v="INV025422893"/>
    <x v="185"/>
    <x v="1"/>
    <s v="عالي"/>
    <s v="مجموعة عمل الأمراض المعدية الآخرى"/>
    <s v="*الملاريا"/>
    <s v="حالة"/>
    <x v="0"/>
    <s v="حالة منتهية لا تتطلب اجراء اضافي"/>
    <x v="0"/>
    <s v="المديرية العامة للشؤون الصحية في المدينة المنورة"/>
    <s v="منطقة المدينة المنورة"/>
    <s v="مركز صحي العوالي للرعاية الصحية الأولية بالمدينة المنورة"/>
    <s v="المديرية العامة للشؤون الصحية في المدينة المنورة"/>
    <s v="2003-08-07"/>
    <s v="22"/>
    <s v="ذكر"/>
    <x v="0"/>
    <s v="565226179"/>
    <s v="N/A"/>
    <s v="N/A"/>
    <s v="مفتوح"/>
    <s v="N/A"/>
    <s v="N/A"/>
    <s v="N/A"/>
    <s v=" intermittent Fever,chills"/>
    <s v="Dec 23 2025 12:00AM,Dec 23 2025 12:00AM"/>
    <s v="02-050-0555277"/>
    <s v="Dec 28 2025  9:10AM"/>
  </r>
  <r>
    <s v="أخرى"/>
    <s v="6155387725"/>
    <s v="ابوالقاسم محمد خليفه علي"/>
    <s v="INV025422969"/>
    <x v="185"/>
    <x v="0"/>
    <s v="عالي"/>
    <s v="مجموعة عمل الأمراض المعدية الآخرى"/>
    <s v="*الملاريا"/>
    <s v="حالة"/>
    <x v="2"/>
    <s v="معلَق"/>
    <x v="11"/>
    <s v="المديرية العامة للشؤون الصحية في المدينة المنورة"/>
    <s v="منطقة المدينة المنورة"/>
    <s v="مركز صحي السميري"/>
    <s v="المديرية العامة للشؤون الصحية في المدينة المنورة"/>
    <s v="1975-01-01"/>
    <s v="51"/>
    <s v="ذكر"/>
    <x v="2"/>
    <s v="569432768"/>
    <s v="N/A"/>
    <s v="N/A"/>
    <s v="مفتوح"/>
    <s v="N/A"/>
    <s v="N/A"/>
    <s v="N/A"/>
    <s v="N/A"/>
    <s v="N/A"/>
    <s v="02-050-0555295"/>
    <s v="Dec 28 2025  9:18AM"/>
  </r>
  <r>
    <s v="مقيم"/>
    <s v="2604405429"/>
    <s v="ايمن امير بشاره ناصر"/>
    <s v="INV025422988"/>
    <x v="185"/>
    <x v="1"/>
    <s v="عالي"/>
    <s v="مجموعة عمل الأمراض المعدية الآخرى"/>
    <s v="*الملاريا"/>
    <s v="حالة"/>
    <x v="0"/>
    <s v="حالة منتهية لا تتطلب اجراء اضافي"/>
    <x v="0"/>
    <s v="المديرية العامة للشؤون الصحية في المدينة المنورة"/>
    <s v="منطقة المدينة المنورة"/>
    <s v="مركز صحي الأزهري"/>
    <s v="المديرية العامة للشؤون الصحية في المدينة المنورة"/>
    <s v="2003-11-19"/>
    <s v="22"/>
    <s v="ذكر"/>
    <x v="2"/>
    <s v="558710829"/>
    <s v="N/A"/>
    <s v="N/A"/>
    <s v="مفتوح"/>
    <s v="N/A"/>
    <s v="N/A"/>
    <s v="N/A"/>
    <s v=" intermittent Fever"/>
    <s v="Dec 21 2025 12:00AM"/>
    <s v="02-050-0555307"/>
    <s v="Dec 28 2025  9:26AM"/>
  </r>
  <r>
    <s v="مقيم"/>
    <s v="2500240680"/>
    <s v="الامين محمد بله على"/>
    <s v="INV025423081"/>
    <x v="185"/>
    <x v="1"/>
    <s v="عالي"/>
    <s v="مجموعة عمل الأمراض المعدية الآخرى"/>
    <s v="*الملاريا"/>
    <s v="حالة"/>
    <x v="0"/>
    <s v="حالة منتهية لا تتطلب اجراء اضافي"/>
    <x v="0"/>
    <s v="المديرية العامة للشؤون الصحية في المدينة المنورة"/>
    <s v="منطقة المدينة المنورة"/>
    <s v="مركز صحي ريم للرعاية الصحية الأولية"/>
    <s v="المديرية العامة للشؤون الصحية في المدينة المنورة"/>
    <s v="1987-01-01"/>
    <s v="39"/>
    <s v="ذكر"/>
    <x v="2"/>
    <s v="596456669"/>
    <s v="N/A"/>
    <s v="N/A"/>
    <s v="مفتوح"/>
    <s v="N/A"/>
    <s v="N/A"/>
    <s v="N/A"/>
    <s v="حمى ,Fever&gt;= 38"/>
    <s v="Dec 22 2025 12:00AM,Dec 28 2025 12:00AM"/>
    <s v="02-050-0555403"/>
    <s v="Dec 28 2025  9:53AM"/>
  </r>
  <r>
    <s v="أخرى"/>
    <s v="6155250689"/>
    <s v="mohammed Ahmed  Ali"/>
    <s v="INV025424782"/>
    <x v="186"/>
    <x v="0"/>
    <s v="عالي"/>
    <s v="مجموعة عمل الأمراض المعدية الآخرى"/>
    <s v="*الملاريا"/>
    <s v="حالة"/>
    <x v="0"/>
    <s v="معلَق"/>
    <x v="0"/>
    <s v="المديرية العامة للشؤون الصحية في المدينة المنورة"/>
    <s v="منطقة المدينة المنورة"/>
    <s v="مركز صحي أحد للرعاية الصحية الأولية"/>
    <s v="المديرية العامة للشؤون الصحية في المدينة المنورة"/>
    <s v="1994-01-01"/>
    <s v="32"/>
    <s v="ذكر"/>
    <x v="2"/>
    <s v="545213597"/>
    <s v="N/A"/>
    <s v="N/A"/>
    <s v="مفتوح"/>
    <s v="N/A"/>
    <s v="N/A"/>
    <s v="N/A"/>
    <s v="N/A"/>
    <s v="N/A"/>
    <s v="02-050-0557113,02-050-0559108"/>
    <s v="Dec 29 2025  2:01PM,Dec 31 2025  2:43PM"/>
  </r>
  <r>
    <s v="مقيم"/>
    <s v="2623002710"/>
    <s v="احمد مصطفى محمود عثمان"/>
    <s v="INV025424839"/>
    <x v="186"/>
    <x v="1"/>
    <s v="N/A"/>
    <s v="مجموعة عمل الأمراض المعدية الآخرى"/>
    <s v="*الملاريا"/>
    <s v="حالة"/>
    <x v="0"/>
    <s v="معلَق"/>
    <x v="0"/>
    <s v="المديرية العامة للشؤون الصحية في المدينة المنورة"/>
    <s v="منطقة المدينة المنورة"/>
    <s v="مركز قباء"/>
    <s v="المديرية العامة للشؤون الصحية في المدينة المنورة"/>
    <s v="1998-04-10"/>
    <s v="27"/>
    <s v="ذكر"/>
    <x v="2"/>
    <s v="558398527"/>
    <s v="N/A"/>
    <s v="N/A"/>
    <s v="مفتوح"/>
    <s v="N/A"/>
    <s v="N/A"/>
    <s v="N/A"/>
    <s v="صداع ,Backache,Fatigue, intermittent Fever"/>
    <s v="Dec 29 2025 12:00AM,Dec 29 2025 12:00AM,Dec 29 2025 12:00AM,Dec 29 2025 12:00AM"/>
    <s v="02-050-0557172"/>
    <s v="Dec 29 2025  2:42PM"/>
  </r>
  <r>
    <s v="أخرى"/>
    <s v="EQ1751527"/>
    <s v="KEWULET SEYID  ALI"/>
    <s v="INV025425105"/>
    <x v="186"/>
    <x v="0"/>
    <s v="عالي"/>
    <s v="مجموعة عمل الأمراض المعدية الآخرى"/>
    <s v="*الملاريا"/>
    <s v="حالة"/>
    <x v="0"/>
    <s v="تحت الإجراء"/>
    <x v="38"/>
    <s v="المديرية العامة للشؤون الصحية في المدينة المنورة"/>
    <s v="منطقة المدينة المنورة"/>
    <s v="مركز السلام للرعاية الصحية الأولية"/>
    <s v="المديرية العامة للشؤون الصحية في المدينة المنورة"/>
    <s v="2002-06-20"/>
    <s v="23"/>
    <s v="انثى"/>
    <x v="1"/>
    <s v="553318094"/>
    <s v="N/A"/>
    <s v="N/A"/>
    <s v="مفتوح"/>
    <s v="N/A"/>
    <s v="N/A"/>
    <s v="N/A"/>
    <s v="N/A"/>
    <s v="N/A"/>
    <s v="02-050-0557407,02-050-0557930,02-050-0559411,02-050-0559534"/>
    <s v="Dec 29 2025 10:51PM,Dec 30 2025 11:57AM,Jan  1 2026  9:14AM,Jan  1 2026 10:07AM"/>
  </r>
  <r>
    <s v="أخرى"/>
    <s v="6154028551"/>
    <s v="الطيب   العاقب"/>
    <s v="INV025425106"/>
    <x v="186"/>
    <x v="1"/>
    <s v="عالي جدًا - معتمر من الخارج"/>
    <s v="مجموعة عمل الأمراض المعدية الآخرى"/>
    <s v="*الملاريا"/>
    <s v="حالة"/>
    <x v="0"/>
    <s v="حالة منتهية لا تتطلب اجراء اضافي"/>
    <x v="1"/>
    <s v="المديرية العامة للشؤون الصحية في المدينة المنورة"/>
    <s v="منطقة المدينة المنورة"/>
    <s v="مستشفى السلام"/>
    <s v="المديرية العامة للشؤون الصحية في المدينة المنورة"/>
    <s v="1962-01-01"/>
    <s v="64"/>
    <s v="ذكر"/>
    <x v="2"/>
    <s v="537753416"/>
    <s v="N/A"/>
    <s v="N/A"/>
    <s v="مغلق"/>
    <s v="N/A"/>
    <s v="N/A"/>
    <s v="N/A"/>
    <s v="N/A"/>
    <s v="N/A"/>
    <s v="02-050-0557409"/>
    <s v="Dec 29 2025 11:00PM"/>
  </r>
  <r>
    <s v="أخرى"/>
    <s v="315801390"/>
    <s v="Lovisa   Mukyala"/>
    <s v="INV025425562"/>
    <x v="187"/>
    <x v="0"/>
    <s v="N/A"/>
    <s v="مجموعة عمل الأمراض المعدية الآخرى"/>
    <s v="*الملاريا"/>
    <s v="حالة"/>
    <x v="2"/>
    <s v="بلاغ أولي"/>
    <x v="37"/>
    <s v="المديرية العامة للشؤون الصحية في المدينة المنورة"/>
    <s v="منطقة المدينة المنورة"/>
    <s v="مركز صحي الجرف"/>
    <s v="المديرية العامة للشؤون الصحية في المدينة المنورة"/>
    <s v="1990-07-06"/>
    <s v="35"/>
    <s v="انثى"/>
    <x v="3"/>
    <s v="506338588"/>
    <s v="N/A"/>
    <s v="N/A"/>
    <s v="مفتوح"/>
    <s v="N/A"/>
    <s v="N/A"/>
    <s v="N/A"/>
    <s v="N/A"/>
    <s v="N/A"/>
    <s v="02-050-0557912"/>
    <s v="Dec 30 2025 11:33AM"/>
  </r>
  <r>
    <s v="مقيم"/>
    <s v="2394809483"/>
    <s v="مصطفى موسى سليمان سالم"/>
    <s v="INV025426265"/>
    <x v="188"/>
    <x v="0"/>
    <s v="عالي"/>
    <s v="مجموعة عمل الأمراض المعدية الآخرى"/>
    <s v="*الملاريا"/>
    <s v="حالة"/>
    <x v="0"/>
    <s v="حالة منتهية لا تتطلب اجراء اضافي"/>
    <x v="0"/>
    <s v="المديرية العامة للشؤون الصحية في المدينة المنورة"/>
    <s v="منطقة المدينة المنورة"/>
    <s v="مركز صحي الهجرة للرعاية الصحية الأولية"/>
    <s v="المديرية العامة للشؤون الصحية في المدينة المنورة"/>
    <s v="1984-01-01"/>
    <s v="42"/>
    <s v="ذكر"/>
    <x v="2"/>
    <s v="504630352"/>
    <s v="N/A"/>
    <s v="N/A"/>
    <s v="مفتوح"/>
    <s v="N/A"/>
    <s v="N/A"/>
    <s v="N/A"/>
    <s v="Backache, intermittent Fever"/>
    <s v="Dec 31 2025 12:00AM,Dec 31 2025 12:00AM"/>
    <s v="02-050-0558629"/>
    <s v="Dec 31 2025 10:02A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BC4559-A2EF-4793-9C61-0C7D7CEA6E9C}" name="PivotTable1" cacheId="0" applyNumberFormats="0" applyBorderFormats="0" applyFontFormats="0" applyPatternFormats="0" applyAlignmentFormats="0" applyWidthHeightFormats="1" dataCaption="القيم" updatedVersion="8" minRefreshableVersion="3" useAutoFormatting="1" itemPrintTitles="1" createdVersion="8" indent="0" outline="1" outlineData="1" multipleFieldFilters="0">
  <location ref="B4:M18" firstHeaderRow="1" firstDataRow="2" firstDataCol="1" rowPageCount="1" colPageCount="1"/>
  <pivotFields count="34">
    <pivotField showAll="0"/>
    <pivotField showAll="0"/>
    <pivotField showAll="0"/>
    <pivotField showAll="0"/>
    <pivotField axis="axisPage" numFmtId="164" multipleItemSelectionAllowed="1" showAll="0">
      <items count="1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t="default"/>
      </items>
    </pivotField>
    <pivotField axis="axisCol" multipleItemSelectionAllowed="1" showAll="0">
      <items count="12">
        <item x="1"/>
        <item x="0"/>
        <item x="2"/>
        <item x="5"/>
        <item x="3"/>
        <item x="9"/>
        <item m="1" x="10"/>
        <item x="6"/>
        <item x="7"/>
        <item x="4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0">
        <item x="2"/>
        <item x="1"/>
        <item x="4"/>
        <item x="0"/>
        <item x="3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33"/>
    <field x="3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5"/>
  </colFields>
  <colItems count="11">
    <i>
      <x/>
    </i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>
      <x v="10"/>
    </i>
    <i t="grand">
      <x/>
    </i>
  </colItems>
  <pageFields count="1">
    <pageField fld="4" hier="-1"/>
  </pageFields>
  <dataFields count="1">
    <dataField name="عدد من Nationality" fld="20" subtotal="count" baseField="0" baseItem="0"/>
  </dataFields>
  <formats count="25">
    <format dxfId="94">
      <pivotArea outline="0" collapsedLevelsAreSubtotals="1" fieldPosition="0"/>
    </format>
    <format dxfId="93">
      <pivotArea dataOnly="0" labelOnly="1" grandRow="1" outline="0" fieldPosition="0"/>
    </format>
    <format dxfId="92">
      <pivotArea field="12" type="button" dataOnly="0" labelOnly="1" outline="0"/>
    </format>
    <format dxfId="91">
      <pivotArea dataOnly="0" labelOnly="1" grandCol="1" outline="0" fieldPosition="0"/>
    </format>
    <format dxfId="90">
      <pivotArea type="all" dataOnly="0" outline="0" fieldPosition="0"/>
    </format>
    <format dxfId="89">
      <pivotArea outline="0" collapsedLevelsAreSubtotals="1" fieldPosition="0"/>
    </format>
    <format dxfId="88">
      <pivotArea type="origin" dataOnly="0" labelOnly="1" outline="0" fieldPosition="0"/>
    </format>
    <format dxfId="87">
      <pivotArea type="topRight" dataOnly="0" labelOnly="1" outline="0" fieldPosition="0"/>
    </format>
    <format dxfId="86">
      <pivotArea field="12" type="button" dataOnly="0" labelOnly="1" outline="0"/>
    </format>
    <format dxfId="85">
      <pivotArea dataOnly="0" labelOnly="1" grandRow="1" outline="0" fieldPosition="0"/>
    </format>
    <format dxfId="84">
      <pivotArea dataOnly="0" labelOnly="1" grandCol="1" outline="0" fieldPosition="0"/>
    </format>
    <format dxfId="83">
      <pivotArea type="all" dataOnly="0" outline="0" fieldPosition="0"/>
    </format>
    <format dxfId="82">
      <pivotArea outline="0" collapsedLevelsAreSubtotals="1" fieldPosition="0"/>
    </format>
    <format dxfId="81">
      <pivotArea type="origin" dataOnly="0" labelOnly="1" outline="0" fieldPosition="0"/>
    </format>
    <format dxfId="80">
      <pivotArea type="topRight" dataOnly="0" labelOnly="1" outline="0" fieldPosition="0"/>
    </format>
    <format dxfId="79">
      <pivotArea field="12" type="button" dataOnly="0" labelOnly="1" outline="0"/>
    </format>
    <format dxfId="78">
      <pivotArea dataOnly="0" labelOnly="1" grandRow="1" outline="0" fieldPosition="0"/>
    </format>
    <format dxfId="77">
      <pivotArea dataOnly="0" labelOnly="1" grandCol="1" outline="0" fieldPosition="0"/>
    </format>
    <format dxfId="76">
      <pivotArea type="all" dataOnly="0" outline="0" fieldPosition="0"/>
    </format>
    <format dxfId="75">
      <pivotArea outline="0" collapsedLevelsAreSubtotals="1" fieldPosition="0"/>
    </format>
    <format dxfId="74">
      <pivotArea type="origin" dataOnly="0" labelOnly="1" outline="0" fieldPosition="0"/>
    </format>
    <format dxfId="73">
      <pivotArea type="topRight" dataOnly="0" labelOnly="1" outline="0" fieldPosition="0"/>
    </format>
    <format dxfId="72">
      <pivotArea field="12" type="button" dataOnly="0" labelOnly="1" outline="0"/>
    </format>
    <format dxfId="71">
      <pivotArea dataOnly="0" labelOnly="1" grandRow="1" outline="0" fieldPosition="0"/>
    </format>
    <format dxfId="7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132111-0F55-4C9F-9FE3-34A72413D6D9}" name="PivotTable1" cacheId="0" applyNumberFormats="0" applyBorderFormats="0" applyFontFormats="0" applyPatternFormats="0" applyAlignmentFormats="0" applyWidthHeightFormats="1" dataCaption="القيم" updatedVersion="8" minRefreshableVersion="3" useAutoFormatting="1" itemPrintTitles="1" createdVersion="8" indent="0" outline="1" outlineData="1" multipleFieldFilters="0">
  <location ref="A3:AB17" firstHeaderRow="1" firstDataRow="2" firstDataCol="1" rowPageCount="1" colPageCount="1"/>
  <pivotFields count="34">
    <pivotField showAll="0"/>
    <pivotField showAll="0"/>
    <pivotField showAll="0"/>
    <pivotField showAll="0"/>
    <pivotField axis="axisRow" showAll="0">
      <items count="1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t="default"/>
      </items>
    </pivotField>
    <pivotField axis="axisPage" multipleItemSelectionAllowed="1" showAll="0">
      <items count="12">
        <item h="1" x="4"/>
        <item x="1"/>
        <item x="0"/>
        <item h="1" m="1" x="10"/>
        <item h="1" x="2"/>
        <item x="5"/>
        <item h="1" x="7"/>
        <item h="1" x="3"/>
        <item h="1" x="6"/>
        <item h="1" x="8"/>
        <item h="1" x="9"/>
        <item t="default"/>
      </items>
    </pivotField>
    <pivotField showAll="0"/>
    <pivotField showAll="0"/>
    <pivotField showAll="0"/>
    <pivotField showAll="0"/>
    <pivotField showAll="0">
      <items count="7">
        <item x="3"/>
        <item x="5"/>
        <item x="1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0">
        <item sd="0" x="1"/>
        <item sd="0" x="23"/>
        <item h="1" sd="0" x="4"/>
        <item sd="0" x="2"/>
        <item sd="0" x="14"/>
        <item sd="0" x="19"/>
        <item sd="0" x="8"/>
        <item sd="0" x="12"/>
        <item sd="0" x="7"/>
        <item sd="0" x="27"/>
        <item sd="0" x="3"/>
        <item sd="0" x="0"/>
        <item sd="0" x="11"/>
        <item sd="0" x="20"/>
        <item sd="0" x="26"/>
        <item sd="0" x="9"/>
        <item sd="0" x="24"/>
        <item sd="0" x="18"/>
        <item sd="0" x="25"/>
        <item sd="0" x="13"/>
        <item sd="0" x="5"/>
        <item sd="0" x="21"/>
        <item sd="0" x="10"/>
        <item m="1" x="28"/>
        <item sd="0" x="16"/>
        <item sd="0" x="6"/>
        <item sd="0" x="22"/>
        <item sd="0" x="17"/>
        <item sd="0" x="15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3">
    <field x="33"/>
    <field x="32"/>
    <field x="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20"/>
  </colFields>
  <colItems count="27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4"/>
    </i>
    <i>
      <x v="25"/>
    </i>
    <i>
      <x v="26"/>
    </i>
    <i>
      <x v="27"/>
    </i>
    <i>
      <x v="28"/>
    </i>
    <i t="grand">
      <x/>
    </i>
  </colItems>
  <pageFields count="1">
    <pageField fld="5" hier="-1"/>
  </pageFields>
  <dataFields count="1">
    <dataField name="عدد من Nationality" fld="20" subtotal="count" baseField="0" baseItem="0"/>
  </dataFields>
  <formats count="64">
    <format dxfId="63">
      <pivotArea dataOnly="0" labelOnly="1" fieldPosition="0">
        <references count="1">
          <reference field="20" count="1">
            <x v="0"/>
          </reference>
        </references>
      </pivotArea>
    </format>
    <format dxfId="62">
      <pivotArea dataOnly="0" labelOnly="1" fieldPosition="0">
        <references count="1">
          <reference field="20" count="1">
            <x v="11"/>
          </reference>
        </references>
      </pivotArea>
    </format>
    <format dxfId="61">
      <pivotArea collapsedLevelsAreSubtotals="1" fieldPosition="0">
        <references count="1">
          <reference field="20" count="1">
            <x v="3"/>
          </reference>
        </references>
      </pivotArea>
    </format>
    <format dxfId="60">
      <pivotArea dataOnly="0" labelOnly="1" fieldPosition="0">
        <references count="1">
          <reference field="20" count="1">
            <x v="3"/>
          </reference>
        </references>
      </pivotArea>
    </format>
    <format dxfId="59">
      <pivotArea collapsedLevelsAreSubtotals="1" fieldPosition="0">
        <references count="1">
          <reference field="20" count="1">
            <x v="20"/>
          </reference>
        </references>
      </pivotArea>
    </format>
    <format dxfId="58">
      <pivotArea dataOnly="0" labelOnly="1" fieldPosition="0">
        <references count="1">
          <reference field="20" count="1">
            <x v="20"/>
          </reference>
        </references>
      </pivotArea>
    </format>
    <format dxfId="57">
      <pivotArea collapsedLevelsAreSubtotals="1" fieldPosition="0">
        <references count="1">
          <reference field="20" count="1">
            <x v="8"/>
          </reference>
        </references>
      </pivotArea>
    </format>
    <format dxfId="56">
      <pivotArea dataOnly="0" labelOnly="1" fieldPosition="0">
        <references count="1">
          <reference field="20" count="1">
            <x v="8"/>
          </reference>
        </references>
      </pivotArea>
    </format>
    <format dxfId="55">
      <pivotArea collapsedLevelsAreSubtotals="1" fieldPosition="0">
        <references count="1">
          <reference field="20" count="1">
            <x v="8"/>
          </reference>
        </references>
      </pivotArea>
    </format>
    <format dxfId="54">
      <pivotArea dataOnly="0" labelOnly="1" fieldPosition="0">
        <references count="1">
          <reference field="20" count="1">
            <x v="8"/>
          </reference>
        </references>
      </pivotArea>
    </format>
    <format dxfId="53">
      <pivotArea collapsedLevelsAreSubtotals="1" fieldPosition="0">
        <references count="1">
          <reference field="20" count="1">
            <x v="0"/>
          </reference>
        </references>
      </pivotArea>
    </format>
    <format dxfId="52">
      <pivotArea dataOnly="0" labelOnly="1" fieldPosition="0">
        <references count="1">
          <reference field="20" count="1">
            <x v="0"/>
          </reference>
        </references>
      </pivotArea>
    </format>
    <format dxfId="51">
      <pivotArea collapsedLevelsAreSubtotals="1" fieldPosition="0">
        <references count="1">
          <reference field="20" count="1">
            <x v="11"/>
          </reference>
        </references>
      </pivotArea>
    </format>
    <format dxfId="50">
      <pivotArea dataOnly="0" labelOnly="1" fieldPosition="0">
        <references count="1">
          <reference field="20" count="1">
            <x v="11"/>
          </reference>
        </references>
      </pivotArea>
    </format>
    <format dxfId="49">
      <pivotArea collapsedLevelsAreSubtotals="1" fieldPosition="0">
        <references count="1">
          <reference field="20" count="1">
            <x v="20"/>
          </reference>
        </references>
      </pivotArea>
    </format>
    <format dxfId="48">
      <pivotArea dataOnly="0" labelOnly="1" fieldPosition="0">
        <references count="1">
          <reference field="20" count="1">
            <x v="20"/>
          </reference>
        </references>
      </pivotArea>
    </format>
    <format dxfId="47">
      <pivotArea collapsedLevelsAreSubtotals="1" fieldPosition="0">
        <references count="1">
          <reference field="20" count="1">
            <x v="15"/>
          </reference>
        </references>
      </pivotArea>
    </format>
    <format dxfId="46">
      <pivotArea dataOnly="0" labelOnly="1" fieldPosition="0">
        <references count="1">
          <reference field="20" count="1">
            <x v="15"/>
          </reference>
        </references>
      </pivotArea>
    </format>
    <format dxfId="45">
      <pivotArea collapsedLevelsAreSubtotals="1" fieldPosition="0">
        <references count="1">
          <reference field="20" count="1">
            <x v="22"/>
          </reference>
        </references>
      </pivotArea>
    </format>
    <format dxfId="44">
      <pivotArea dataOnly="0" labelOnly="1" fieldPosition="0">
        <references count="1">
          <reference field="20" count="1">
            <x v="22"/>
          </reference>
        </references>
      </pivotArea>
    </format>
    <format dxfId="43">
      <pivotArea collapsedLevelsAreSubtotals="1" fieldPosition="0">
        <references count="1">
          <reference field="20" count="1">
            <x v="12"/>
          </reference>
        </references>
      </pivotArea>
    </format>
    <format dxfId="42">
      <pivotArea dataOnly="0" labelOnly="1" fieldPosition="0">
        <references count="1">
          <reference field="20" count="1">
            <x v="12"/>
          </reference>
        </references>
      </pivotArea>
    </format>
    <format dxfId="41">
      <pivotArea collapsedLevelsAreSubtotals="1" fieldPosition="0">
        <references count="1">
          <reference field="20" count="1">
            <x v="7"/>
          </reference>
        </references>
      </pivotArea>
    </format>
    <format dxfId="40">
      <pivotArea dataOnly="0" labelOnly="1" fieldPosition="0">
        <references count="1">
          <reference field="20" count="1">
            <x v="7"/>
          </reference>
        </references>
      </pivotArea>
    </format>
    <format dxfId="39">
      <pivotArea collapsedLevelsAreSubtotals="1" fieldPosition="0">
        <references count="1">
          <reference field="20" count="1">
            <x v="19"/>
          </reference>
        </references>
      </pivotArea>
    </format>
    <format dxfId="38">
      <pivotArea dataOnly="0" labelOnly="1" fieldPosition="0">
        <references count="1">
          <reference field="20" count="1">
            <x v="19"/>
          </reference>
        </references>
      </pivotArea>
    </format>
    <format dxfId="37">
      <pivotArea collapsedLevelsAreSubtotals="1" fieldPosition="0">
        <references count="1">
          <reference field="20" count="1">
            <x v="4"/>
          </reference>
        </references>
      </pivotArea>
    </format>
    <format dxfId="36">
      <pivotArea dataOnly="0" labelOnly="1" fieldPosition="0">
        <references count="1">
          <reference field="20" count="1">
            <x v="4"/>
          </reference>
        </references>
      </pivotArea>
    </format>
    <format dxfId="35">
      <pivotArea collapsedLevelsAreSubtotals="1" fieldPosition="0">
        <references count="1">
          <reference field="20" count="1">
            <x v="28"/>
          </reference>
        </references>
      </pivotArea>
    </format>
    <format dxfId="34">
      <pivotArea dataOnly="0" labelOnly="1" fieldPosition="0">
        <references count="1">
          <reference field="20" count="1">
            <x v="28"/>
          </reference>
        </references>
      </pivotArea>
    </format>
    <format dxfId="33">
      <pivotArea collapsedLevelsAreSubtotals="1" fieldPosition="0">
        <references count="1">
          <reference field="20" count="1">
            <x v="24"/>
          </reference>
        </references>
      </pivotArea>
    </format>
    <format dxfId="32">
      <pivotArea dataOnly="0" labelOnly="1" fieldPosition="0">
        <references count="1">
          <reference field="20" count="1">
            <x v="24"/>
          </reference>
        </references>
      </pivotArea>
    </format>
    <format dxfId="31">
      <pivotArea collapsedLevelsAreSubtotals="1" fieldPosition="0">
        <references count="1">
          <reference field="20" count="1">
            <x v="27"/>
          </reference>
        </references>
      </pivotArea>
    </format>
    <format dxfId="30">
      <pivotArea dataOnly="0" labelOnly="1" fieldPosition="0">
        <references count="1">
          <reference field="20" count="1">
            <x v="27"/>
          </reference>
        </references>
      </pivotArea>
    </format>
    <format dxfId="29">
      <pivotArea collapsedLevelsAreSubtotals="1" fieldPosition="0">
        <references count="1">
          <reference field="20" count="1">
            <x v="10"/>
          </reference>
        </references>
      </pivotArea>
    </format>
    <format dxfId="28">
      <pivotArea dataOnly="0" labelOnly="1" fieldPosition="0">
        <references count="1">
          <reference field="20" count="1">
            <x v="10"/>
          </reference>
        </references>
      </pivotArea>
    </format>
    <format dxfId="27">
      <pivotArea collapsedLevelsAreSubtotals="1" fieldPosition="0">
        <references count="1">
          <reference field="20" count="1">
            <x v="17"/>
          </reference>
        </references>
      </pivotArea>
    </format>
    <format dxfId="26">
      <pivotArea dataOnly="0" labelOnly="1" fieldPosition="0">
        <references count="1">
          <reference field="20" count="1">
            <x v="17"/>
          </reference>
        </references>
      </pivotArea>
    </format>
    <format dxfId="25">
      <pivotArea collapsedLevelsAreSubtotals="1" fieldPosition="0">
        <references count="1">
          <reference field="20" count="1">
            <x v="5"/>
          </reference>
        </references>
      </pivotArea>
    </format>
    <format dxfId="24">
      <pivotArea dataOnly="0" labelOnly="1" fieldPosition="0">
        <references count="1">
          <reference field="20" count="1">
            <x v="5"/>
          </reference>
        </references>
      </pivotArea>
    </format>
    <format dxfId="23">
      <pivotArea collapsedLevelsAreSubtotals="1" fieldPosition="0">
        <references count="1">
          <reference field="20" count="1">
            <x v="13"/>
          </reference>
        </references>
      </pivotArea>
    </format>
    <format dxfId="22">
      <pivotArea dataOnly="0" labelOnly="1" fieldPosition="0">
        <references count="1">
          <reference field="20" count="1">
            <x v="13"/>
          </reference>
        </references>
      </pivotArea>
    </format>
    <format dxfId="21">
      <pivotArea collapsedLevelsAreSubtotals="1" fieldPosition="0">
        <references count="1">
          <reference field="20" count="1">
            <x v="21"/>
          </reference>
        </references>
      </pivotArea>
    </format>
    <format dxfId="20">
      <pivotArea dataOnly="0" labelOnly="1" fieldPosition="0">
        <references count="1">
          <reference field="20" count="1">
            <x v="21"/>
          </reference>
        </references>
      </pivotArea>
    </format>
    <format dxfId="19">
      <pivotArea collapsedLevelsAreSubtotals="1" fieldPosition="0">
        <references count="1">
          <reference field="20" count="1">
            <x v="26"/>
          </reference>
        </references>
      </pivotArea>
    </format>
    <format dxfId="18">
      <pivotArea dataOnly="0" labelOnly="1" fieldPosition="0">
        <references count="1">
          <reference field="20" count="1">
            <x v="26"/>
          </reference>
        </references>
      </pivotArea>
    </format>
    <format dxfId="17">
      <pivotArea collapsedLevelsAreSubtotals="1" fieldPosition="0">
        <references count="1">
          <reference field="20" count="1">
            <x v="1"/>
          </reference>
        </references>
      </pivotArea>
    </format>
    <format dxfId="16">
      <pivotArea dataOnly="0" labelOnly="1" fieldPosition="0">
        <references count="1">
          <reference field="20" count="1">
            <x v="1"/>
          </reference>
        </references>
      </pivotArea>
    </format>
    <format dxfId="15">
      <pivotArea collapsedLevelsAreSubtotals="1" fieldPosition="0">
        <references count="1">
          <reference field="20" count="1">
            <x v="16"/>
          </reference>
        </references>
      </pivotArea>
    </format>
    <format dxfId="14">
      <pivotArea dataOnly="0" labelOnly="1" fieldPosition="0">
        <references count="1">
          <reference field="20" count="1">
            <x v="16"/>
          </reference>
        </references>
      </pivotArea>
    </format>
    <format dxfId="13">
      <pivotArea collapsedLevelsAreSubtotals="1" fieldPosition="0">
        <references count="1">
          <reference field="20" count="1">
            <x v="18"/>
          </reference>
        </references>
      </pivotArea>
    </format>
    <format dxfId="12">
      <pivotArea dataOnly="0" labelOnly="1" fieldPosition="0">
        <references count="1">
          <reference field="20" count="1">
            <x v="18"/>
          </reference>
        </references>
      </pivotArea>
    </format>
    <format dxfId="11">
      <pivotArea collapsedLevelsAreSubtotals="1" fieldPosition="0">
        <references count="1">
          <reference field="20" count="1">
            <x v="9"/>
          </reference>
        </references>
      </pivotArea>
    </format>
    <format dxfId="10">
      <pivotArea dataOnly="0" labelOnly="1" fieldPosition="0">
        <references count="1">
          <reference field="20" count="1">
            <x v="9"/>
          </reference>
        </references>
      </pivotArea>
    </format>
    <format dxfId="9">
      <pivotArea collapsedLevelsAreSubtotals="1" fieldPosition="0">
        <references count="1">
          <reference field="20" count="1">
            <x v="15"/>
          </reference>
        </references>
      </pivotArea>
    </format>
    <format dxfId="8">
      <pivotArea dataOnly="0" labelOnly="1" fieldPosition="0">
        <references count="1">
          <reference field="20" count="1">
            <x v="15"/>
          </reference>
        </references>
      </pivotArea>
    </format>
    <format dxfId="7">
      <pivotArea collapsedLevelsAreSubtotals="1" fieldPosition="0">
        <references count="1">
          <reference field="20" count="1">
            <x v="15"/>
          </reference>
        </references>
      </pivotArea>
    </format>
    <format dxfId="6">
      <pivotArea dataOnly="0" labelOnly="1" fieldPosition="0">
        <references count="1">
          <reference field="20" count="1">
            <x v="15"/>
          </reference>
        </references>
      </pivotArea>
    </format>
    <format dxfId="5">
      <pivotArea collapsedLevelsAreSubtotals="1" fieldPosition="0">
        <references count="1">
          <reference field="20" count="1">
            <x v="6"/>
          </reference>
        </references>
      </pivotArea>
    </format>
    <format dxfId="4">
      <pivotArea dataOnly="0" labelOnly="1" fieldPosition="0">
        <references count="1">
          <reference field="20" count="1">
            <x v="6"/>
          </reference>
        </references>
      </pivotArea>
    </format>
    <format dxfId="3">
      <pivotArea collapsedLevelsAreSubtotals="1" fieldPosition="0">
        <references count="1">
          <reference field="20" count="1">
            <x v="25"/>
          </reference>
        </references>
      </pivotArea>
    </format>
    <format dxfId="2">
      <pivotArea dataOnly="0" labelOnly="1" fieldPosition="0">
        <references count="1">
          <reference field="20" count="1">
            <x v="25"/>
          </reference>
        </references>
      </pivotArea>
    </format>
    <format dxfId="1">
      <pivotArea collapsedLevelsAreSubtotals="1" fieldPosition="0">
        <references count="1">
          <reference field="20" count="1">
            <x v="25"/>
          </reference>
        </references>
      </pivotArea>
    </format>
    <format dxfId="0">
      <pivotArea dataOnly="0" labelOnly="1" fieldPosition="0">
        <references count="1">
          <reference field="20" count="1">
            <x v="2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F6ED76F-C4FB-4B93-B6B3-1DDCBA190AF5}" name="WeekTable" displayName="WeekTable" ref="A4:C69" totalsRowShown="0" headerRowBorderDxfId="69" tableBorderDxfId="68" totalsRowBorderDxfId="67">
  <autoFilter ref="A4:C69" xr:uid="{0F6ED76F-C4FB-4B93-B6B3-1DDCBA190AF5}"/>
  <tableColumns count="3">
    <tableColumn id="1" xr3:uid="{3E9A3B50-A761-4CC2-B3F4-1E839FB1A22E}" name="Number" dataDxfId="66"/>
    <tableColumn id="2" xr3:uid="{C15914F6-222C-402D-9C69-A1726953560B}" name="Start" dataDxfId="65"/>
    <tableColumn id="3" xr3:uid="{F383DF70-FB3F-466E-A050-67EF28991A61}" name="End" dataDxfId="6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074A94-59D9-4A8A-A818-9C11B9ED0E8A}" name="الجدول1" displayName="الجدول1" ref="A1:AF363" totalsRowShown="0" headerRowDxfId="128" dataDxfId="127">
  <autoFilter ref="A1:AF363" xr:uid="{4C074A94-59D9-4A8A-A818-9C11B9ED0E8A}"/>
  <sortState xmlns:xlrd2="http://schemas.microsoft.com/office/spreadsheetml/2017/richdata2" ref="A2:AF70">
    <sortCondition ref="D1:D70"/>
  </sortState>
  <tableColumns count="32">
    <tableColumn id="1" xr3:uid="{A5D80435-2D31-47FC-A42A-BEDBDEA75804}" name="ID Type" dataDxfId="126"/>
    <tableColumn id="2" xr3:uid="{10E09B38-9D20-4BD1-A974-F8A0861CECE7}" name="Candidate NID" dataDxfId="125"/>
    <tableColumn id="3" xr3:uid="{38028372-A389-4E51-A498-14B769D144F5}" name="Candidate Name" dataDxfId="124"/>
    <tableColumn id="4" xr3:uid="{6AD35F14-3B7C-4A34-8D90-C4098B79203B}" name="Investigation" dataDxfId="123"/>
    <tableColumn id="5" xr3:uid="{34F1580C-14A5-41FA-8493-DC6CD6022813}" name="Creation Date" dataDxfId="122"/>
    <tableColumn id="6" xr3:uid="{9135391C-9B71-4875-A252-C1579757D09D}" name="Malaria Classification" dataDxfId="121"/>
    <tableColumn id="7" xr3:uid="{C40CFCE8-315C-453B-9005-38E12A94ACA3}" name="Priority" dataDxfId="120"/>
    <tableColumn id="8" xr3:uid="{1B7AA3C5-94A1-4326-9C40-028CDC6804B6}" name="Encounter Group" dataDxfId="119"/>
    <tableColumn id="9" xr3:uid="{54771817-5FD3-4A7A-8222-87CB05669A9D}" name="Disease" dataDxfId="118"/>
    <tableColumn id="10" xr3:uid="{BF9E47D6-4693-4EB9-BF06-66279C0B4EE8}" name="Classification Group" dataDxfId="117"/>
    <tableColumn id="11" xr3:uid="{9E5EAA77-0D77-4C11-BEB8-DEE95ACC7C9C}" name="Classification" dataDxfId="116"/>
    <tableColumn id="12" xr3:uid="{7D342196-0E16-401F-B35A-55BB861B00AA}" name="Disposition" dataDxfId="115"/>
    <tableColumn id="13" xr3:uid="{BF8E21C1-0C70-463E-A466-0BBFAF5BCD31}" name="ReportingOrganizationSource" dataDxfId="114"/>
    <tableColumn id="14" xr3:uid="{03797CAD-16F3-4679-BE63-30A01F6C585F}" name="Reporting Organization Directorate" dataDxfId="113"/>
    <tableColumn id="15" xr3:uid="{BEB8FBAB-2967-451C-B051-05D09F060849}" name="Reporting Organization Region" dataDxfId="112"/>
    <tableColumn id="16" xr3:uid="{D08A5192-B080-4200-ABFE-1D878033828B}" name="Responsible Organization Source" dataDxfId="111"/>
    <tableColumn id="17" xr3:uid="{7EB01E3B-BD79-401E-8D57-0938588A3FB9}" name="Responsible Organization Directorate" dataDxfId="110"/>
    <tableColumn id="18" xr3:uid="{54C74295-A708-4FFC-9C17-6187BEB64B78}" name="DATEOFBIRTH" dataDxfId="109"/>
    <tableColumn id="19" xr3:uid="{A07FF4FB-7A8F-45CC-9E29-167A5E2E9ADC}" name="Age" dataDxfId="108"/>
    <tableColumn id="20" xr3:uid="{013E6F76-3F43-427E-A7E6-DB1028A2E4FF}" name="Gender" dataDxfId="107"/>
    <tableColumn id="21" xr3:uid="{D1D5C353-9478-449E-A6CF-CCE0A4BD5F59}" name="Nationality" dataDxfId="106"/>
    <tableColumn id="22" xr3:uid="{8CA94A2E-0B4D-4066-BC23-35C27A4DD52F}" name="PHONENUMBER" dataDxfId="105"/>
    <tableColumn id="23" xr3:uid="{A2CC0481-2A86-49AC-A86C-AB62D72873E2}" name="Outcome" dataDxfId="104"/>
    <tableColumn id="24" xr3:uid="{923CDB0E-84EF-4300-8BD2-11B579A71F9A}" name="Outcome Date" dataDxfId="103"/>
    <tableColumn id="25" xr3:uid="{2C59A0C0-BFEE-458D-9344-85A9C0768613}" name="Investigation Status" dataDxfId="102"/>
    <tableColumn id="26" xr3:uid="{EC6B9F4E-EE8F-4343-87E5-2679562A8057}" name="DATEOFDEATH" dataDxfId="101"/>
    <tableColumn id="27" xr3:uid="{4C8C67EF-1AE3-456B-8B3F-33A8451DBE80}" name="Risk Factor" dataDxfId="100"/>
    <tableColumn id="28" xr3:uid="{6F7579B3-3802-4BF7-A2FC-3A1374C5CAD2}" name="Risk Factor Date" dataDxfId="99"/>
    <tableColumn id="29" xr3:uid="{D04D538E-03CE-41F8-BA28-2DFDBE8898B8}" name="Sign Symptoms" dataDxfId="98"/>
    <tableColumn id="30" xr3:uid="{4BB2600A-F196-4FC1-9B63-7C117BEF7AA6}" name="Sign Symptoms Date" dataDxfId="97"/>
    <tableColumn id="31" xr3:uid="{1C5A11B2-150F-4F4F-A1F6-B4A484FBF75A}" name="REQUISITIONCODE" dataDxfId="96"/>
    <tableColumn id="32" xr3:uid="{BA547574-3EDE-457E-A10A-C94243AA38C9}" name="REQUISITIONDATE" dataDxfId="9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0C174-77EE-446C-94C1-6FF6B09584DA}">
  <dimension ref="B1:W122"/>
  <sheetViews>
    <sheetView rightToLeft="1" workbookViewId="0">
      <selection activeCell="G6" sqref="G6:G14"/>
    </sheetView>
  </sheetViews>
  <sheetFormatPr defaultColWidth="18.625" defaultRowHeight="18" x14ac:dyDescent="0.2"/>
  <cols>
    <col min="1" max="1" width="18.625" style="3"/>
    <col min="2" max="2" width="20" style="3" bestFit="1" customWidth="1"/>
    <col min="3" max="3" width="17.25" style="3" bestFit="1" customWidth="1"/>
    <col min="4" max="4" width="5.25" style="3" bestFit="1" customWidth="1"/>
    <col min="5" max="5" width="9.125" style="3" bestFit="1" customWidth="1"/>
    <col min="6" max="6" width="6.75" style="3" bestFit="1" customWidth="1"/>
    <col min="7" max="7" width="13.625" style="3" bestFit="1" customWidth="1"/>
    <col min="8" max="8" width="6.125" style="3" bestFit="1" customWidth="1"/>
    <col min="9" max="9" width="18.5" style="3" bestFit="1" customWidth="1"/>
    <col min="10" max="10" width="12" style="3" bestFit="1" customWidth="1"/>
    <col min="11" max="11" width="13.5" style="3" bestFit="1" customWidth="1"/>
    <col min="12" max="12" width="14.25" style="3" bestFit="1" customWidth="1"/>
    <col min="13" max="13" width="11.75" style="3" bestFit="1" customWidth="1"/>
    <col min="14" max="14" width="19.875" style="3" bestFit="1" customWidth="1"/>
    <col min="15" max="15" width="4" style="3" bestFit="1" customWidth="1"/>
    <col min="16" max="16" width="10.375" style="3" bestFit="1" customWidth="1"/>
    <col min="17" max="17" width="4.75" style="3" bestFit="1" customWidth="1"/>
    <col min="18" max="18" width="4.375" style="3" bestFit="1" customWidth="1"/>
    <col min="19" max="19" width="6.375" style="3" bestFit="1" customWidth="1"/>
    <col min="20" max="20" width="4.625" style="3" bestFit="1" customWidth="1"/>
    <col min="21" max="21" width="8.75" style="3" bestFit="1" customWidth="1"/>
    <col min="22" max="22" width="8.5" style="3" bestFit="1" customWidth="1"/>
    <col min="23" max="23" width="11.75" style="3" bestFit="1" customWidth="1"/>
    <col min="24" max="16384" width="18.625" style="3"/>
  </cols>
  <sheetData>
    <row r="1" spans="2:23" x14ac:dyDescent="0.2">
      <c r="B1"/>
      <c r="C1"/>
    </row>
    <row r="2" spans="2:23" x14ac:dyDescent="0.2">
      <c r="B2" s="4" t="s">
        <v>4</v>
      </c>
      <c r="C2" s="3" t="s">
        <v>2808</v>
      </c>
    </row>
    <row r="3" spans="2:23" x14ac:dyDescent="0.2">
      <c r="B3"/>
      <c r="C3"/>
      <c r="D3"/>
      <c r="E3"/>
      <c r="F3"/>
      <c r="G3"/>
      <c r="H3"/>
      <c r="I3"/>
      <c r="J3"/>
      <c r="K3"/>
      <c r="L3"/>
      <c r="M3"/>
    </row>
    <row r="4" spans="2:23" x14ac:dyDescent="0.2">
      <c r="B4" s="4" t="s">
        <v>875</v>
      </c>
      <c r="C4" s="4" t="s">
        <v>154</v>
      </c>
      <c r="N4"/>
      <c r="O4"/>
      <c r="P4"/>
      <c r="Q4"/>
      <c r="R4"/>
      <c r="S4"/>
      <c r="T4"/>
      <c r="U4"/>
      <c r="V4"/>
      <c r="W4"/>
    </row>
    <row r="5" spans="2:23" x14ac:dyDescent="0.2">
      <c r="B5" s="4" t="s">
        <v>152</v>
      </c>
      <c r="C5" s="3" t="s">
        <v>103</v>
      </c>
      <c r="D5" s="3" t="s">
        <v>102</v>
      </c>
      <c r="E5" s="3" t="s">
        <v>39</v>
      </c>
      <c r="F5" s="3" t="s">
        <v>234</v>
      </c>
      <c r="G5" s="3" t="s">
        <v>151</v>
      </c>
      <c r="H5" s="3" t="s">
        <v>2809</v>
      </c>
      <c r="I5" s="3" t="s">
        <v>1689</v>
      </c>
      <c r="J5" s="3" t="s">
        <v>2090</v>
      </c>
      <c r="K5" s="3" t="s">
        <v>2711</v>
      </c>
      <c r="L5" s="3" t="s">
        <v>2661</v>
      </c>
      <c r="M5" s="6" t="s">
        <v>153</v>
      </c>
      <c r="N5"/>
      <c r="O5"/>
      <c r="P5"/>
      <c r="Q5"/>
      <c r="R5"/>
      <c r="S5"/>
      <c r="T5"/>
      <c r="U5"/>
      <c r="V5"/>
      <c r="W5"/>
    </row>
    <row r="6" spans="2:23" x14ac:dyDescent="0.2">
      <c r="B6" s="3" t="s">
        <v>276</v>
      </c>
      <c r="C6" s="5">
        <v>6</v>
      </c>
      <c r="D6" s="5">
        <v>4</v>
      </c>
      <c r="E6" s="5">
        <v>1</v>
      </c>
      <c r="F6" s="5"/>
      <c r="G6" s="5">
        <v>3</v>
      </c>
      <c r="H6" s="5"/>
      <c r="I6" s="5"/>
      <c r="J6" s="5"/>
      <c r="K6" s="5"/>
      <c r="L6" s="5"/>
      <c r="M6" s="5">
        <v>14</v>
      </c>
      <c r="N6"/>
      <c r="O6"/>
      <c r="P6"/>
      <c r="Q6"/>
      <c r="R6"/>
      <c r="S6"/>
      <c r="T6"/>
      <c r="U6"/>
      <c r="V6"/>
      <c r="W6"/>
    </row>
    <row r="7" spans="2:23" x14ac:dyDescent="0.2">
      <c r="B7" s="3" t="s">
        <v>277</v>
      </c>
      <c r="C7" s="5">
        <v>5</v>
      </c>
      <c r="D7" s="5">
        <v>2</v>
      </c>
      <c r="E7" s="5">
        <v>2</v>
      </c>
      <c r="F7" s="5"/>
      <c r="G7" s="5">
        <v>7</v>
      </c>
      <c r="H7" s="5"/>
      <c r="I7" s="5"/>
      <c r="J7" s="5"/>
      <c r="K7" s="5">
        <v>1</v>
      </c>
      <c r="L7" s="5"/>
      <c r="M7" s="5">
        <v>17</v>
      </c>
      <c r="N7"/>
      <c r="O7"/>
      <c r="P7"/>
      <c r="Q7"/>
      <c r="R7"/>
      <c r="S7"/>
      <c r="T7"/>
      <c r="U7"/>
      <c r="V7"/>
      <c r="W7"/>
    </row>
    <row r="8" spans="2:23" x14ac:dyDescent="0.2">
      <c r="B8" s="3" t="s">
        <v>278</v>
      </c>
      <c r="C8" s="5">
        <v>5</v>
      </c>
      <c r="D8" s="5">
        <v>8</v>
      </c>
      <c r="E8" s="5"/>
      <c r="F8" s="5"/>
      <c r="G8" s="5"/>
      <c r="H8" s="5"/>
      <c r="I8" s="5"/>
      <c r="J8" s="5"/>
      <c r="K8" s="5"/>
      <c r="L8" s="5"/>
      <c r="M8" s="5">
        <v>13</v>
      </c>
      <c r="N8"/>
      <c r="O8"/>
      <c r="P8"/>
      <c r="Q8"/>
      <c r="R8"/>
      <c r="S8"/>
      <c r="T8"/>
      <c r="U8"/>
      <c r="V8"/>
      <c r="W8"/>
    </row>
    <row r="9" spans="2:23" x14ac:dyDescent="0.2">
      <c r="B9" s="3" t="s">
        <v>279</v>
      </c>
      <c r="C9" s="5">
        <v>13</v>
      </c>
      <c r="D9" s="5">
        <v>12</v>
      </c>
      <c r="E9" s="5">
        <v>2</v>
      </c>
      <c r="F9" s="5">
        <v>1</v>
      </c>
      <c r="G9" s="5">
        <v>3</v>
      </c>
      <c r="H9" s="5"/>
      <c r="I9" s="5"/>
      <c r="J9" s="5"/>
      <c r="K9" s="5"/>
      <c r="L9" s="5"/>
      <c r="M9" s="5">
        <v>31</v>
      </c>
      <c r="N9"/>
      <c r="O9"/>
      <c r="P9"/>
      <c r="Q9"/>
      <c r="R9"/>
      <c r="S9"/>
      <c r="T9"/>
      <c r="U9"/>
      <c r="V9"/>
      <c r="W9"/>
    </row>
    <row r="10" spans="2:23" x14ac:dyDescent="0.2">
      <c r="B10" s="3" t="s">
        <v>280</v>
      </c>
      <c r="C10" s="5">
        <v>13</v>
      </c>
      <c r="D10" s="5">
        <v>6</v>
      </c>
      <c r="E10" s="5">
        <v>8</v>
      </c>
      <c r="F10" s="5">
        <v>1</v>
      </c>
      <c r="G10" s="5">
        <v>1</v>
      </c>
      <c r="H10" s="5"/>
      <c r="I10" s="5"/>
      <c r="J10" s="5"/>
      <c r="K10" s="5"/>
      <c r="L10" s="5"/>
      <c r="M10" s="5">
        <v>29</v>
      </c>
      <c r="N10"/>
      <c r="O10"/>
      <c r="P10"/>
      <c r="Q10"/>
      <c r="R10"/>
      <c r="S10"/>
      <c r="T10"/>
      <c r="U10"/>
      <c r="V10"/>
      <c r="W10"/>
    </row>
    <row r="11" spans="2:23" x14ac:dyDescent="0.2">
      <c r="B11" s="3" t="s">
        <v>281</v>
      </c>
      <c r="C11" s="5">
        <v>13</v>
      </c>
      <c r="D11" s="5">
        <v>6</v>
      </c>
      <c r="E11" s="5">
        <v>5</v>
      </c>
      <c r="F11" s="5"/>
      <c r="G11" s="5"/>
      <c r="H11" s="5"/>
      <c r="I11" s="5"/>
      <c r="J11" s="5"/>
      <c r="K11" s="5"/>
      <c r="L11" s="5"/>
      <c r="M11" s="5">
        <v>24</v>
      </c>
      <c r="N11"/>
      <c r="O11"/>
      <c r="P11"/>
      <c r="Q11"/>
      <c r="R11"/>
      <c r="S11"/>
      <c r="T11"/>
      <c r="U11"/>
      <c r="V11"/>
      <c r="W11"/>
    </row>
    <row r="12" spans="2:23" x14ac:dyDescent="0.2">
      <c r="B12" s="3" t="s">
        <v>282</v>
      </c>
      <c r="C12" s="5">
        <v>18</v>
      </c>
      <c r="D12" s="5">
        <v>6</v>
      </c>
      <c r="E12" s="5">
        <v>2</v>
      </c>
      <c r="F12" s="5"/>
      <c r="G12" s="5">
        <v>1</v>
      </c>
      <c r="H12" s="5"/>
      <c r="I12" s="5"/>
      <c r="J12" s="5"/>
      <c r="K12" s="5"/>
      <c r="L12" s="5"/>
      <c r="M12" s="5">
        <v>27</v>
      </c>
      <c r="N12"/>
      <c r="O12"/>
      <c r="P12"/>
      <c r="Q12"/>
      <c r="R12"/>
      <c r="S12"/>
      <c r="T12"/>
      <c r="U12"/>
      <c r="V12"/>
      <c r="W12"/>
    </row>
    <row r="13" spans="2:23" x14ac:dyDescent="0.2">
      <c r="B13" s="3" t="s">
        <v>283</v>
      </c>
      <c r="C13" s="5">
        <v>16</v>
      </c>
      <c r="D13" s="5">
        <v>20</v>
      </c>
      <c r="E13" s="5">
        <v>4</v>
      </c>
      <c r="F13" s="5"/>
      <c r="G13" s="5"/>
      <c r="H13" s="5"/>
      <c r="I13" s="5">
        <v>1</v>
      </c>
      <c r="J13" s="5"/>
      <c r="K13" s="5"/>
      <c r="L13" s="5"/>
      <c r="M13" s="5">
        <v>41</v>
      </c>
      <c r="N13"/>
      <c r="O13"/>
      <c r="P13"/>
      <c r="Q13"/>
      <c r="R13"/>
      <c r="S13"/>
      <c r="T13"/>
      <c r="U13"/>
      <c r="V13"/>
      <c r="W13"/>
    </row>
    <row r="14" spans="2:23" x14ac:dyDescent="0.2">
      <c r="B14" s="3" t="s">
        <v>284</v>
      </c>
      <c r="C14" s="5">
        <v>25</v>
      </c>
      <c r="D14" s="5">
        <v>23</v>
      </c>
      <c r="E14" s="5">
        <v>6</v>
      </c>
      <c r="F14" s="5"/>
      <c r="G14" s="5"/>
      <c r="H14" s="5"/>
      <c r="I14" s="5"/>
      <c r="J14" s="5"/>
      <c r="K14" s="5"/>
      <c r="L14" s="5"/>
      <c r="M14" s="5">
        <v>54</v>
      </c>
      <c r="N14"/>
      <c r="O14"/>
      <c r="P14"/>
      <c r="Q14"/>
      <c r="R14"/>
      <c r="S14"/>
      <c r="T14"/>
      <c r="U14"/>
      <c r="V14"/>
      <c r="W14"/>
    </row>
    <row r="15" spans="2:23" x14ac:dyDescent="0.2">
      <c r="B15" s="3" t="s">
        <v>285</v>
      </c>
      <c r="C15" s="5">
        <v>11</v>
      </c>
      <c r="D15" s="5">
        <v>27</v>
      </c>
      <c r="E15" s="5">
        <v>4</v>
      </c>
      <c r="F15" s="5"/>
      <c r="G15" s="5"/>
      <c r="H15" s="5"/>
      <c r="I15" s="5"/>
      <c r="J15" s="5">
        <v>1</v>
      </c>
      <c r="K15" s="5"/>
      <c r="L15" s="5"/>
      <c r="M15" s="5">
        <v>43</v>
      </c>
      <c r="N15"/>
      <c r="O15"/>
      <c r="P15"/>
      <c r="Q15"/>
      <c r="R15"/>
      <c r="S15"/>
      <c r="T15"/>
      <c r="U15"/>
      <c r="V15"/>
      <c r="W15"/>
    </row>
    <row r="16" spans="2:23" x14ac:dyDescent="0.2">
      <c r="B16" s="3" t="s">
        <v>286</v>
      </c>
      <c r="C16" s="5">
        <v>13</v>
      </c>
      <c r="D16" s="5">
        <v>15</v>
      </c>
      <c r="E16" s="5">
        <v>2</v>
      </c>
      <c r="F16" s="5"/>
      <c r="G16" s="5"/>
      <c r="H16" s="5"/>
      <c r="I16" s="5">
        <v>1</v>
      </c>
      <c r="J16" s="5"/>
      <c r="K16" s="5"/>
      <c r="L16" s="5"/>
      <c r="M16" s="5">
        <v>31</v>
      </c>
      <c r="N16"/>
      <c r="O16"/>
      <c r="P16"/>
      <c r="Q16"/>
      <c r="R16"/>
      <c r="S16"/>
      <c r="T16"/>
      <c r="U16"/>
      <c r="V16"/>
      <c r="W16"/>
    </row>
    <row r="17" spans="2:23" x14ac:dyDescent="0.2">
      <c r="B17" s="3" t="s">
        <v>287</v>
      </c>
      <c r="C17" s="5">
        <v>18</v>
      </c>
      <c r="D17" s="5">
        <v>16</v>
      </c>
      <c r="E17" s="5">
        <v>2</v>
      </c>
      <c r="F17" s="5"/>
      <c r="G17" s="5"/>
      <c r="H17" s="5">
        <v>1</v>
      </c>
      <c r="I17" s="5"/>
      <c r="J17" s="5"/>
      <c r="K17" s="5"/>
      <c r="L17" s="5">
        <v>1</v>
      </c>
      <c r="M17" s="5">
        <v>38</v>
      </c>
      <c r="N17"/>
      <c r="O17"/>
      <c r="P17"/>
      <c r="Q17"/>
      <c r="R17"/>
      <c r="S17"/>
      <c r="T17"/>
      <c r="U17"/>
      <c r="V17"/>
      <c r="W17"/>
    </row>
    <row r="18" spans="2:23" x14ac:dyDescent="0.2">
      <c r="B18" s="5" t="s">
        <v>153</v>
      </c>
      <c r="C18" s="5">
        <v>156</v>
      </c>
      <c r="D18" s="5">
        <v>145</v>
      </c>
      <c r="E18" s="5">
        <v>38</v>
      </c>
      <c r="F18" s="5">
        <v>2</v>
      </c>
      <c r="G18" s="5">
        <v>15</v>
      </c>
      <c r="H18" s="5">
        <v>1</v>
      </c>
      <c r="I18" s="5">
        <v>2</v>
      </c>
      <c r="J18" s="5">
        <v>1</v>
      </c>
      <c r="K18" s="5">
        <v>1</v>
      </c>
      <c r="L18" s="5">
        <v>1</v>
      </c>
      <c r="M18" s="5">
        <v>362</v>
      </c>
      <c r="N18"/>
      <c r="O18"/>
      <c r="P18"/>
      <c r="Q18"/>
      <c r="R18"/>
      <c r="S18"/>
      <c r="T18"/>
      <c r="U18"/>
      <c r="V18"/>
      <c r="W18"/>
    </row>
    <row r="19" spans="2:23" x14ac:dyDescent="0.2"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</row>
    <row r="20" spans="2:23" x14ac:dyDescent="0.2"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</row>
    <row r="21" spans="2:23" x14ac:dyDescent="0.2"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</row>
    <row r="22" spans="2:23" x14ac:dyDescent="0.2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</row>
    <row r="23" spans="2:23" x14ac:dyDescent="0.2"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</row>
    <row r="24" spans="2:23" x14ac:dyDescent="0.2"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</row>
    <row r="25" spans="2:23" x14ac:dyDescent="0.2"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</row>
    <row r="26" spans="2:23" x14ac:dyDescent="0.2"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</row>
    <row r="27" spans="2:23" x14ac:dyDescent="0.2">
      <c r="B27"/>
      <c r="C27"/>
      <c r="D27"/>
      <c r="E27"/>
      <c r="F27"/>
    </row>
    <row r="28" spans="2:23" x14ac:dyDescent="0.2">
      <c r="B28"/>
      <c r="C28"/>
      <c r="D28"/>
      <c r="E28"/>
      <c r="F28"/>
    </row>
    <row r="29" spans="2:23" x14ac:dyDescent="0.2">
      <c r="B29"/>
      <c r="C29"/>
      <c r="D29"/>
      <c r="E29"/>
      <c r="F29"/>
    </row>
    <row r="30" spans="2:23" x14ac:dyDescent="0.2">
      <c r="B30"/>
      <c r="C30"/>
      <c r="D30"/>
      <c r="E30"/>
      <c r="F30"/>
    </row>
    <row r="31" spans="2:23" x14ac:dyDescent="0.2">
      <c r="B31"/>
      <c r="C31"/>
      <c r="D31"/>
      <c r="E31"/>
      <c r="F31"/>
    </row>
    <row r="32" spans="2:23" x14ac:dyDescent="0.2">
      <c r="B32"/>
      <c r="C32"/>
      <c r="D32"/>
      <c r="E32"/>
      <c r="F32"/>
    </row>
    <row r="33" spans="2:6" x14ac:dyDescent="0.2">
      <c r="B33"/>
      <c r="C33"/>
      <c r="D33"/>
      <c r="E33"/>
      <c r="F33"/>
    </row>
    <row r="34" spans="2:6" x14ac:dyDescent="0.2">
      <c r="B34"/>
      <c r="C34"/>
      <c r="D34"/>
      <c r="E34"/>
      <c r="F34"/>
    </row>
    <row r="35" spans="2:6" x14ac:dyDescent="0.2">
      <c r="B35"/>
      <c r="C35"/>
      <c r="D35"/>
      <c r="E35"/>
      <c r="F35"/>
    </row>
    <row r="36" spans="2:6" x14ac:dyDescent="0.2">
      <c r="B36"/>
      <c r="C36"/>
      <c r="D36"/>
      <c r="E36"/>
      <c r="F36"/>
    </row>
    <row r="37" spans="2:6" x14ac:dyDescent="0.2">
      <c r="B37"/>
      <c r="C37"/>
      <c r="D37"/>
      <c r="E37"/>
      <c r="F37"/>
    </row>
    <row r="38" spans="2:6" x14ac:dyDescent="0.2">
      <c r="B38"/>
      <c r="C38"/>
      <c r="D38"/>
      <c r="E38"/>
      <c r="F38"/>
    </row>
    <row r="39" spans="2:6" x14ac:dyDescent="0.2">
      <c r="B39"/>
      <c r="C39"/>
      <c r="D39"/>
      <c r="E39"/>
      <c r="F39"/>
    </row>
    <row r="40" spans="2:6" x14ac:dyDescent="0.2">
      <c r="B40"/>
      <c r="C40"/>
      <c r="D40"/>
      <c r="E40"/>
      <c r="F40"/>
    </row>
    <row r="41" spans="2:6" x14ac:dyDescent="0.2">
      <c r="B41"/>
      <c r="C41"/>
      <c r="D41"/>
      <c r="E41"/>
      <c r="F41"/>
    </row>
    <row r="42" spans="2:6" x14ac:dyDescent="0.2">
      <c r="B42"/>
      <c r="C42"/>
      <c r="D42"/>
      <c r="E42"/>
      <c r="F42"/>
    </row>
    <row r="43" spans="2:6" x14ac:dyDescent="0.2">
      <c r="B43"/>
      <c r="C43"/>
      <c r="D43"/>
      <c r="E43"/>
      <c r="F43"/>
    </row>
    <row r="44" spans="2:6" x14ac:dyDescent="0.2">
      <c r="B44"/>
      <c r="C44"/>
      <c r="D44"/>
      <c r="E44"/>
      <c r="F44"/>
    </row>
    <row r="45" spans="2:6" x14ac:dyDescent="0.2">
      <c r="B45"/>
      <c r="C45"/>
      <c r="D45"/>
      <c r="E45"/>
      <c r="F45"/>
    </row>
    <row r="46" spans="2:6" x14ac:dyDescent="0.2">
      <c r="B46"/>
      <c r="C46"/>
      <c r="D46"/>
      <c r="E46"/>
      <c r="F46"/>
    </row>
    <row r="47" spans="2:6" x14ac:dyDescent="0.2">
      <c r="B47"/>
      <c r="C47"/>
      <c r="D47"/>
      <c r="E47"/>
      <c r="F47"/>
    </row>
    <row r="48" spans="2:6" x14ac:dyDescent="0.2">
      <c r="B48"/>
      <c r="C48"/>
      <c r="D48"/>
      <c r="E48"/>
      <c r="F48"/>
    </row>
    <row r="49" spans="2:6" x14ac:dyDescent="0.2">
      <c r="B49"/>
      <c r="C49"/>
      <c r="D49"/>
      <c r="E49"/>
      <c r="F49"/>
    </row>
    <row r="50" spans="2:6" x14ac:dyDescent="0.2">
      <c r="B50"/>
      <c r="C50"/>
      <c r="D50"/>
      <c r="E50"/>
      <c r="F50"/>
    </row>
    <row r="51" spans="2:6" x14ac:dyDescent="0.2">
      <c r="B51"/>
      <c r="C51"/>
      <c r="D51"/>
      <c r="E51"/>
      <c r="F51"/>
    </row>
    <row r="52" spans="2:6" x14ac:dyDescent="0.2">
      <c r="B52"/>
      <c r="C52"/>
      <c r="D52"/>
      <c r="E52"/>
      <c r="F52"/>
    </row>
    <row r="53" spans="2:6" x14ac:dyDescent="0.2">
      <c r="B53"/>
      <c r="C53"/>
      <c r="D53"/>
      <c r="E53"/>
      <c r="F53"/>
    </row>
    <row r="54" spans="2:6" x14ac:dyDescent="0.2">
      <c r="B54"/>
      <c r="C54"/>
      <c r="D54"/>
      <c r="E54"/>
      <c r="F54"/>
    </row>
    <row r="55" spans="2:6" x14ac:dyDescent="0.2">
      <c r="B55"/>
      <c r="C55"/>
      <c r="D55"/>
      <c r="E55"/>
      <c r="F55"/>
    </row>
    <row r="56" spans="2:6" x14ac:dyDescent="0.2">
      <c r="B56"/>
      <c r="C56"/>
      <c r="D56"/>
      <c r="E56"/>
      <c r="F56"/>
    </row>
    <row r="57" spans="2:6" x14ac:dyDescent="0.2">
      <c r="B57"/>
      <c r="C57"/>
      <c r="D57"/>
      <c r="E57"/>
      <c r="F57"/>
    </row>
    <row r="58" spans="2:6" x14ac:dyDescent="0.2">
      <c r="B58"/>
      <c r="C58"/>
      <c r="D58"/>
      <c r="E58"/>
      <c r="F58"/>
    </row>
    <row r="59" spans="2:6" x14ac:dyDescent="0.2">
      <c r="B59"/>
      <c r="C59"/>
      <c r="D59"/>
      <c r="E59"/>
      <c r="F59"/>
    </row>
    <row r="60" spans="2:6" x14ac:dyDescent="0.2">
      <c r="B60"/>
      <c r="C60"/>
      <c r="D60"/>
      <c r="E60"/>
      <c r="F60"/>
    </row>
    <row r="61" spans="2:6" x14ac:dyDescent="0.2">
      <c r="B61"/>
      <c r="C61"/>
      <c r="D61"/>
      <c r="E61"/>
      <c r="F61"/>
    </row>
    <row r="62" spans="2:6" x14ac:dyDescent="0.2">
      <c r="B62"/>
      <c r="C62"/>
      <c r="D62"/>
      <c r="E62"/>
      <c r="F62"/>
    </row>
    <row r="63" spans="2:6" x14ac:dyDescent="0.2">
      <c r="B63"/>
      <c r="C63"/>
      <c r="D63"/>
      <c r="E63"/>
      <c r="F63"/>
    </row>
    <row r="64" spans="2:6" x14ac:dyDescent="0.2">
      <c r="B64"/>
      <c r="C64"/>
      <c r="D64"/>
      <c r="E64"/>
      <c r="F64"/>
    </row>
    <row r="65" spans="2:6" x14ac:dyDescent="0.2">
      <c r="B65"/>
      <c r="C65"/>
      <c r="D65"/>
      <c r="E65"/>
      <c r="F65"/>
    </row>
    <row r="66" spans="2:6" x14ac:dyDescent="0.2">
      <c r="B66"/>
      <c r="C66"/>
      <c r="D66"/>
      <c r="E66"/>
      <c r="F66"/>
    </row>
    <row r="67" spans="2:6" x14ac:dyDescent="0.2">
      <c r="B67"/>
      <c r="C67"/>
      <c r="D67"/>
      <c r="E67"/>
      <c r="F67"/>
    </row>
    <row r="68" spans="2:6" x14ac:dyDescent="0.2">
      <c r="B68"/>
      <c r="C68"/>
      <c r="D68"/>
      <c r="E68"/>
      <c r="F68"/>
    </row>
    <row r="69" spans="2:6" x14ac:dyDescent="0.2">
      <c r="B69"/>
      <c r="C69"/>
      <c r="D69"/>
      <c r="E69"/>
      <c r="F69"/>
    </row>
    <row r="70" spans="2:6" x14ac:dyDescent="0.2">
      <c r="B70"/>
      <c r="C70"/>
      <c r="D70"/>
      <c r="E70"/>
      <c r="F70"/>
    </row>
    <row r="71" spans="2:6" x14ac:dyDescent="0.2">
      <c r="B71"/>
      <c r="C71"/>
      <c r="D71"/>
      <c r="E71"/>
      <c r="F71"/>
    </row>
    <row r="72" spans="2:6" x14ac:dyDescent="0.2">
      <c r="B72"/>
      <c r="C72"/>
      <c r="D72"/>
      <c r="E72"/>
      <c r="F72"/>
    </row>
    <row r="73" spans="2:6" x14ac:dyDescent="0.2">
      <c r="B73"/>
      <c r="C73"/>
      <c r="D73"/>
      <c r="E73"/>
      <c r="F73"/>
    </row>
    <row r="74" spans="2:6" x14ac:dyDescent="0.2">
      <c r="B74"/>
      <c r="C74"/>
      <c r="D74"/>
      <c r="E74"/>
      <c r="F74"/>
    </row>
    <row r="75" spans="2:6" x14ac:dyDescent="0.2">
      <c r="B75"/>
      <c r="C75"/>
      <c r="D75"/>
      <c r="E75"/>
      <c r="F75"/>
    </row>
    <row r="76" spans="2:6" x14ac:dyDescent="0.2">
      <c r="B76"/>
      <c r="C76"/>
      <c r="D76"/>
      <c r="E76"/>
      <c r="F76"/>
    </row>
    <row r="77" spans="2:6" x14ac:dyDescent="0.2">
      <c r="B77"/>
      <c r="C77"/>
      <c r="D77"/>
      <c r="E77"/>
      <c r="F77"/>
    </row>
    <row r="78" spans="2:6" x14ac:dyDescent="0.2">
      <c r="B78"/>
      <c r="C78"/>
      <c r="D78"/>
      <c r="E78"/>
      <c r="F78"/>
    </row>
    <row r="79" spans="2:6" x14ac:dyDescent="0.2">
      <c r="B79"/>
      <c r="C79"/>
      <c r="D79"/>
      <c r="E79"/>
      <c r="F79"/>
    </row>
    <row r="80" spans="2:6" x14ac:dyDescent="0.2">
      <c r="B80"/>
      <c r="C80"/>
      <c r="D80"/>
      <c r="E80"/>
      <c r="F80"/>
    </row>
    <row r="81" spans="2:6" x14ac:dyDescent="0.2">
      <c r="B81"/>
      <c r="C81"/>
      <c r="D81"/>
      <c r="E81"/>
      <c r="F81"/>
    </row>
    <row r="82" spans="2:6" x14ac:dyDescent="0.2">
      <c r="B82"/>
      <c r="C82"/>
      <c r="D82"/>
      <c r="E82"/>
      <c r="F82"/>
    </row>
    <row r="83" spans="2:6" x14ac:dyDescent="0.2">
      <c r="B83"/>
      <c r="C83"/>
      <c r="D83"/>
      <c r="E83"/>
      <c r="F83"/>
    </row>
    <row r="84" spans="2:6" x14ac:dyDescent="0.2">
      <c r="B84"/>
      <c r="C84"/>
      <c r="D84"/>
      <c r="E84"/>
      <c r="F84"/>
    </row>
    <row r="85" spans="2:6" x14ac:dyDescent="0.2">
      <c r="B85"/>
      <c r="C85"/>
      <c r="D85"/>
      <c r="E85"/>
      <c r="F85"/>
    </row>
    <row r="86" spans="2:6" x14ac:dyDescent="0.2">
      <c r="B86"/>
      <c r="C86"/>
      <c r="D86"/>
      <c r="E86"/>
      <c r="F86"/>
    </row>
    <row r="87" spans="2:6" x14ac:dyDescent="0.2">
      <c r="B87"/>
      <c r="C87"/>
      <c r="D87"/>
      <c r="E87"/>
      <c r="F87"/>
    </row>
    <row r="88" spans="2:6" x14ac:dyDescent="0.2">
      <c r="B88"/>
      <c r="C88"/>
      <c r="D88"/>
      <c r="E88"/>
      <c r="F88"/>
    </row>
    <row r="89" spans="2:6" x14ac:dyDescent="0.2">
      <c r="B89"/>
      <c r="C89"/>
      <c r="D89"/>
      <c r="E89"/>
      <c r="F89"/>
    </row>
    <row r="90" spans="2:6" x14ac:dyDescent="0.2">
      <c r="B90"/>
      <c r="C90"/>
      <c r="D90"/>
      <c r="E90"/>
      <c r="F90"/>
    </row>
    <row r="91" spans="2:6" x14ac:dyDescent="0.2">
      <c r="B91"/>
      <c r="C91"/>
      <c r="D91"/>
      <c r="E91"/>
      <c r="F91"/>
    </row>
    <row r="92" spans="2:6" x14ac:dyDescent="0.2">
      <c r="B92"/>
      <c r="C92"/>
      <c r="D92"/>
      <c r="E92"/>
      <c r="F92"/>
    </row>
    <row r="93" spans="2:6" x14ac:dyDescent="0.2">
      <c r="B93"/>
      <c r="C93"/>
      <c r="D93"/>
      <c r="E93"/>
      <c r="F93"/>
    </row>
    <row r="94" spans="2:6" x14ac:dyDescent="0.2">
      <c r="B94"/>
      <c r="C94"/>
      <c r="D94"/>
      <c r="E94"/>
      <c r="F94"/>
    </row>
    <row r="95" spans="2:6" x14ac:dyDescent="0.2">
      <c r="B95"/>
      <c r="C95"/>
      <c r="D95"/>
      <c r="E95"/>
      <c r="F95"/>
    </row>
    <row r="96" spans="2:6" x14ac:dyDescent="0.2">
      <c r="B96"/>
      <c r="C96"/>
      <c r="D96"/>
      <c r="E96"/>
      <c r="F96"/>
    </row>
    <row r="97" spans="2:6" x14ac:dyDescent="0.2">
      <c r="B97"/>
      <c r="C97"/>
      <c r="D97"/>
      <c r="E97"/>
      <c r="F97"/>
    </row>
    <row r="98" spans="2:6" x14ac:dyDescent="0.2">
      <c r="B98"/>
      <c r="C98"/>
      <c r="D98"/>
      <c r="E98"/>
      <c r="F98"/>
    </row>
    <row r="99" spans="2:6" x14ac:dyDescent="0.2">
      <c r="B99"/>
      <c r="C99"/>
      <c r="D99"/>
      <c r="E99"/>
      <c r="F99"/>
    </row>
    <row r="100" spans="2:6" x14ac:dyDescent="0.2">
      <c r="B100"/>
      <c r="C100"/>
      <c r="D100"/>
      <c r="E100"/>
      <c r="F100"/>
    </row>
    <row r="101" spans="2:6" x14ac:dyDescent="0.2">
      <c r="B101"/>
      <c r="C101"/>
      <c r="D101"/>
      <c r="E101"/>
      <c r="F101"/>
    </row>
    <row r="102" spans="2:6" x14ac:dyDescent="0.2">
      <c r="B102"/>
      <c r="C102"/>
      <c r="D102"/>
      <c r="E102"/>
      <c r="F102"/>
    </row>
    <row r="103" spans="2:6" x14ac:dyDescent="0.2">
      <c r="B103"/>
      <c r="C103"/>
      <c r="D103"/>
      <c r="E103"/>
      <c r="F103"/>
    </row>
    <row r="104" spans="2:6" x14ac:dyDescent="0.2">
      <c r="B104"/>
      <c r="C104"/>
      <c r="D104"/>
      <c r="E104"/>
      <c r="F104"/>
    </row>
    <row r="105" spans="2:6" x14ac:dyDescent="0.2">
      <c r="B105"/>
      <c r="C105"/>
      <c r="D105"/>
      <c r="E105"/>
      <c r="F105"/>
    </row>
    <row r="106" spans="2:6" x14ac:dyDescent="0.2">
      <c r="B106"/>
      <c r="C106"/>
      <c r="D106"/>
      <c r="E106"/>
      <c r="F106"/>
    </row>
    <row r="107" spans="2:6" x14ac:dyDescent="0.2">
      <c r="B107"/>
      <c r="C107"/>
      <c r="D107"/>
      <c r="E107"/>
      <c r="F107"/>
    </row>
    <row r="108" spans="2:6" x14ac:dyDescent="0.2">
      <c r="B108"/>
      <c r="C108"/>
      <c r="D108"/>
      <c r="E108"/>
      <c r="F108"/>
    </row>
    <row r="109" spans="2:6" x14ac:dyDescent="0.2">
      <c r="B109"/>
      <c r="C109"/>
      <c r="D109"/>
      <c r="E109"/>
      <c r="F109"/>
    </row>
    <row r="110" spans="2:6" x14ac:dyDescent="0.2">
      <c r="B110"/>
      <c r="C110"/>
      <c r="D110"/>
      <c r="E110"/>
      <c r="F110"/>
    </row>
    <row r="111" spans="2:6" x14ac:dyDescent="0.2">
      <c r="B111"/>
      <c r="C111"/>
      <c r="D111"/>
      <c r="E111"/>
      <c r="F111"/>
    </row>
    <row r="112" spans="2:6" x14ac:dyDescent="0.2">
      <c r="B112"/>
      <c r="C112"/>
      <c r="D112"/>
      <c r="E112"/>
      <c r="F112"/>
    </row>
    <row r="113" spans="2:6" x14ac:dyDescent="0.2">
      <c r="B113"/>
      <c r="C113"/>
      <c r="D113"/>
      <c r="E113"/>
      <c r="F113"/>
    </row>
    <row r="114" spans="2:6" x14ac:dyDescent="0.2">
      <c r="B114"/>
      <c r="C114"/>
      <c r="D114"/>
      <c r="E114"/>
      <c r="F114"/>
    </row>
    <row r="115" spans="2:6" x14ac:dyDescent="0.2">
      <c r="B115"/>
      <c r="C115"/>
      <c r="D115"/>
      <c r="E115"/>
      <c r="F115"/>
    </row>
    <row r="116" spans="2:6" x14ac:dyDescent="0.2">
      <c r="B116"/>
      <c r="C116"/>
      <c r="D116"/>
      <c r="E116"/>
      <c r="F116"/>
    </row>
    <row r="117" spans="2:6" x14ac:dyDescent="0.2">
      <c r="B117"/>
      <c r="C117"/>
      <c r="D117"/>
      <c r="E117"/>
      <c r="F117"/>
    </row>
    <row r="118" spans="2:6" x14ac:dyDescent="0.2">
      <c r="B118"/>
      <c r="C118"/>
      <c r="D118"/>
      <c r="E118"/>
      <c r="F118"/>
    </row>
    <row r="119" spans="2:6" x14ac:dyDescent="0.2">
      <c r="B119"/>
      <c r="C119"/>
      <c r="D119"/>
      <c r="E119"/>
      <c r="F119"/>
    </row>
    <row r="120" spans="2:6" x14ac:dyDescent="0.2">
      <c r="B120"/>
      <c r="C120"/>
      <c r="D120"/>
      <c r="E120"/>
      <c r="F120"/>
    </row>
    <row r="121" spans="2:6" x14ac:dyDescent="0.2">
      <c r="B121"/>
      <c r="C121"/>
      <c r="D121"/>
      <c r="E121"/>
      <c r="F121"/>
    </row>
    <row r="122" spans="2:6" x14ac:dyDescent="0.2">
      <c r="B122"/>
      <c r="C122"/>
      <c r="D122"/>
      <c r="E122"/>
      <c r="F122"/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F711C-523B-4954-825F-3E8FD67C72D6}">
  <sheetPr>
    <pageSetUpPr fitToPage="1"/>
  </sheetPr>
  <dimension ref="A2:J69"/>
  <sheetViews>
    <sheetView rightToLeft="1" zoomScaleNormal="100" workbookViewId="0">
      <pane ySplit="4" topLeftCell="A5" activePane="bottomLeft" state="frozen"/>
      <selection activeCell="D1" sqref="D1"/>
      <selection pane="bottomLeft" activeCell="H19" sqref="H19"/>
    </sheetView>
  </sheetViews>
  <sheetFormatPr defaultRowHeight="18" x14ac:dyDescent="0.25"/>
  <cols>
    <col min="1" max="1" width="11.875" style="1" hidden="1" customWidth="1"/>
    <col min="2" max="3" width="14.125" style="1" hidden="1" customWidth="1"/>
    <col min="4" max="4" width="22.5" style="1" customWidth="1"/>
    <col min="5" max="5" width="30.625" style="11" customWidth="1"/>
    <col min="6" max="9" width="12.625" style="15" customWidth="1"/>
    <col min="10" max="10" width="12.625" style="16" customWidth="1"/>
    <col min="11" max="16384" width="9" style="1"/>
  </cols>
  <sheetData>
    <row r="2" spans="1:10" x14ac:dyDescent="0.25">
      <c r="E2" s="11" t="s">
        <v>273</v>
      </c>
      <c r="F2" s="15" t="s">
        <v>276</v>
      </c>
      <c r="G2" s="15" t="s">
        <v>274</v>
      </c>
      <c r="H2" s="25">
        <f>_xlfn.XLOOKUP($F$2,$A:$A,$B:$B)</f>
        <v>45658</v>
      </c>
      <c r="I2" s="15" t="s">
        <v>275</v>
      </c>
      <c r="J2" s="25">
        <f>_xlfn.XLOOKUP($F$2,$A:$A,$C:$C)</f>
        <v>45688</v>
      </c>
    </row>
    <row r="4" spans="1:10" ht="28.5" customHeight="1" x14ac:dyDescent="0.25">
      <c r="A4" s="33" t="s">
        <v>236</v>
      </c>
      <c r="B4" s="34" t="s">
        <v>237</v>
      </c>
      <c r="C4" s="35" t="s">
        <v>238</v>
      </c>
      <c r="E4" s="13" t="s">
        <v>233</v>
      </c>
      <c r="F4" s="17" t="s">
        <v>102</v>
      </c>
      <c r="G4" s="17" t="s">
        <v>103</v>
      </c>
      <c r="H4" s="17" t="s">
        <v>234</v>
      </c>
      <c r="I4" s="17" t="s">
        <v>235</v>
      </c>
      <c r="J4" s="17" t="s">
        <v>272</v>
      </c>
    </row>
    <row r="5" spans="1:10" x14ac:dyDescent="0.25">
      <c r="A5" s="26">
        <v>1</v>
      </c>
      <c r="B5" s="7">
        <v>45655</v>
      </c>
      <c r="C5" s="29">
        <v>45661</v>
      </c>
      <c r="E5" s="12" t="str" cm="1">
        <f t="array" ref="E5:E10">_xlfn.UNIQUE(_xlfn._xlws.FILTER(الجدول1[ReportingOrganizationSource],(الجدول1[Creation Date]&gt;=$H$2)*(الجدول1[Creation Date]&lt;=$J$2)))</f>
        <v>مستشفى الميقات العام</v>
      </c>
      <c r="F5" s="18">
        <f>COUNTIFS(الجدول1[ReportingOrganizationSource],$E5,الجدول1[Malaria Classification],F$4,الجدول1[Creation Date],"&gt;="&amp;$H$2,الجدول1[Creation Date],"&lt;="&amp;$J$2)</f>
        <v>2</v>
      </c>
      <c r="G5" s="18">
        <f>COUNTIFS(الجدول1[ReportingOrganizationSource],$E5,الجدول1[Malaria Classification],G$4,الجدول1[Creation Date],"&gt;="&amp;$H$2,الجدول1[Creation Date],"&lt;="&amp;$J$2)</f>
        <v>5</v>
      </c>
      <c r="H5" s="18">
        <f>COUNTIFS(الجدول1[ReportingOrganizationSource],$E5,الجدول1[Malaria Classification],H$4,الجدول1[Creation Date],"&gt;="&amp;$H$2,الجدول1[Creation Date],"&lt;="&amp;$J$2)</f>
        <v>0</v>
      </c>
      <c r="I5" s="18">
        <f>COUNTIFS(الجدول1[ReportingOrganizationSource],$E5,الجدول1[Malaria Classification],I$4,الجدول1[Creation Date],"&gt;="&amp;$H$2,الجدول1[Creation Date],"&lt;="&amp;$J$2)</f>
        <v>0</v>
      </c>
      <c r="J5" s="19">
        <f>SUM(F5:I5)</f>
        <v>7</v>
      </c>
    </row>
    <row r="6" spans="1:10" x14ac:dyDescent="0.25">
      <c r="A6" s="27">
        <v>2</v>
      </c>
      <c r="B6" s="8">
        <v>45662</v>
      </c>
      <c r="C6" s="30">
        <v>45668</v>
      </c>
      <c r="E6" s="14" t="str">
        <v>مستشفى السلام</v>
      </c>
      <c r="F6" s="20">
        <f>COUNTIFS(الجدول1[ReportingOrganizationSource],$E6,الجدول1[Malaria Classification],F$4,الجدول1[Creation Date],"&gt;="&amp;$H$2,الجدول1[Creation Date],"&lt;="&amp;$J$2)</f>
        <v>1</v>
      </c>
      <c r="G6" s="20">
        <f>COUNTIFS(الجدول1[ReportingOrganizationSource],$E6,الجدول1[Malaria Classification],G$4,الجدول1[Creation Date],"&gt;="&amp;$H$2,الجدول1[Creation Date],"&lt;="&amp;$J$2)</f>
        <v>0</v>
      </c>
      <c r="H6" s="20">
        <f>COUNTIFS(الجدول1[ReportingOrganizationSource],$E6,الجدول1[Malaria Classification],H$4,الجدول1[Creation Date],"&gt;="&amp;$H$2,الجدول1[Creation Date],"&lt;="&amp;$J$2)</f>
        <v>0</v>
      </c>
      <c r="I6" s="20">
        <f>COUNTIFS(الجدول1[ReportingOrganizationSource],$E6,الجدول1[Malaria Classification],I$4,الجدول1[Creation Date],"&gt;="&amp;$H$2,الجدول1[Creation Date],"&lt;="&amp;$J$2)</f>
        <v>0</v>
      </c>
      <c r="J6" s="21">
        <f t="shared" ref="J6:J34" si="0">SUM(F6:I6)</f>
        <v>1</v>
      </c>
    </row>
    <row r="7" spans="1:10" x14ac:dyDescent="0.25">
      <c r="A7" s="26">
        <v>3</v>
      </c>
      <c r="B7" s="9">
        <v>45669</v>
      </c>
      <c r="C7" s="31">
        <v>45675</v>
      </c>
      <c r="E7" s="12" t="str">
        <v>مركز الفحص الشامل</v>
      </c>
      <c r="F7" s="18">
        <f>COUNTIFS(الجدول1[ReportingOrganizationSource],$E7,الجدول1[Malaria Classification],F$4,الجدول1[Creation Date],"&gt;="&amp;$H$2,الجدول1[Creation Date],"&lt;="&amp;$J$2)</f>
        <v>0</v>
      </c>
      <c r="G7" s="18">
        <f>COUNTIFS(الجدول1[ReportingOrganizationSource],$E7,الجدول1[Malaria Classification],G$4,الجدول1[Creation Date],"&gt;="&amp;$H$2,الجدول1[Creation Date],"&lt;="&amp;$J$2)</f>
        <v>0</v>
      </c>
      <c r="H7" s="18">
        <f>COUNTIFS(الجدول1[ReportingOrganizationSource],$E7,الجدول1[Malaria Classification],H$4,الجدول1[Creation Date],"&gt;="&amp;$H$2,الجدول1[Creation Date],"&lt;="&amp;$J$2)</f>
        <v>0</v>
      </c>
      <c r="I7" s="18">
        <f>COUNTIFS(الجدول1[ReportingOrganizationSource],$E7,الجدول1[Malaria Classification],I$4,الجدول1[Creation Date],"&gt;="&amp;$H$2,الجدول1[Creation Date],"&lt;="&amp;$J$2)</f>
        <v>0</v>
      </c>
      <c r="J7" s="19">
        <f t="shared" si="0"/>
        <v>0</v>
      </c>
    </row>
    <row r="8" spans="1:10" x14ac:dyDescent="0.25">
      <c r="A8" s="28">
        <v>4</v>
      </c>
      <c r="B8" s="10">
        <v>45676</v>
      </c>
      <c r="C8" s="32">
        <v>45682</v>
      </c>
      <c r="E8" s="14" t="str">
        <v>مستشفى خيبر العام</v>
      </c>
      <c r="F8" s="20">
        <f>COUNTIFS(الجدول1[ReportingOrganizationSource],$E8,الجدول1[Malaria Classification],F$4,الجدول1[Creation Date],"&gt;="&amp;$H$2,الجدول1[Creation Date],"&lt;="&amp;$J$2)</f>
        <v>0</v>
      </c>
      <c r="G8" s="20">
        <f>COUNTIFS(الجدول1[ReportingOrganizationSource],$E8,الجدول1[Malaria Classification],G$4,الجدول1[Creation Date],"&gt;="&amp;$H$2,الجدول1[Creation Date],"&lt;="&amp;$J$2)</f>
        <v>0</v>
      </c>
      <c r="H8" s="20">
        <f>COUNTIFS(الجدول1[ReportingOrganizationSource],$E8,الجدول1[Malaria Classification],H$4,الجدول1[Creation Date],"&gt;="&amp;$H$2,الجدول1[Creation Date],"&lt;="&amp;$J$2)</f>
        <v>0</v>
      </c>
      <c r="I8" s="20">
        <f>COUNTIFS(الجدول1[ReportingOrganizationSource],$E8,الجدول1[Malaria Classification],I$4,الجدول1[Creation Date],"&gt;="&amp;$H$2,الجدول1[Creation Date],"&lt;="&amp;$J$2)</f>
        <v>0</v>
      </c>
      <c r="J8" s="21">
        <f t="shared" si="0"/>
        <v>0</v>
      </c>
    </row>
    <row r="9" spans="1:10" x14ac:dyDescent="0.25">
      <c r="A9" s="26">
        <v>5</v>
      </c>
      <c r="B9" s="9">
        <v>45683</v>
      </c>
      <c r="C9" s="31">
        <v>45689</v>
      </c>
      <c r="E9" s="12" t="str">
        <v>مستشفى المدينة المنورة العام</v>
      </c>
      <c r="F9" s="18">
        <f>COUNTIFS(الجدول1[ReportingOrganizationSource],$E9,الجدول1[Malaria Classification],F$4,الجدول1[Creation Date],"&gt;="&amp;$H$2,الجدول1[Creation Date],"&lt;="&amp;$J$2)</f>
        <v>1</v>
      </c>
      <c r="G9" s="18">
        <f>COUNTIFS(الجدول1[ReportingOrganizationSource],$E9,الجدول1[Malaria Classification],G$4,الجدول1[Creation Date],"&gt;="&amp;$H$2,الجدول1[Creation Date],"&lt;="&amp;$J$2)</f>
        <v>1</v>
      </c>
      <c r="H9" s="18">
        <f>COUNTIFS(الجدول1[ReportingOrganizationSource],$E9,الجدول1[Malaria Classification],H$4,الجدول1[Creation Date],"&gt;="&amp;$H$2,الجدول1[Creation Date],"&lt;="&amp;$J$2)</f>
        <v>0</v>
      </c>
      <c r="I9" s="18">
        <f>COUNTIFS(الجدول1[ReportingOrganizationSource],$E9,الجدول1[Malaria Classification],I$4,الجدول1[Creation Date],"&gt;="&amp;$H$2,الجدول1[Creation Date],"&lt;="&amp;$J$2)</f>
        <v>0</v>
      </c>
      <c r="J9" s="19">
        <f t="shared" si="0"/>
        <v>2</v>
      </c>
    </row>
    <row r="10" spans="1:10" x14ac:dyDescent="0.25">
      <c r="A10" s="28">
        <v>6</v>
      </c>
      <c r="B10" s="10">
        <v>45690</v>
      </c>
      <c r="C10" s="32">
        <v>45696</v>
      </c>
      <c r="E10" s="14" t="str">
        <v>مستشفى الملك فهد بالمدينة المنورة</v>
      </c>
      <c r="F10" s="20">
        <f>COUNTIFS(الجدول1[ReportingOrganizationSource],$E10,الجدول1[Malaria Classification],F$4,الجدول1[Creation Date],"&gt;="&amp;$H$2,الجدول1[Creation Date],"&lt;="&amp;$J$2)</f>
        <v>0</v>
      </c>
      <c r="G10" s="20">
        <f>COUNTIFS(الجدول1[ReportingOrganizationSource],$E10,الجدول1[Malaria Classification],G$4,الجدول1[Creation Date],"&gt;="&amp;$H$2,الجدول1[Creation Date],"&lt;="&amp;$J$2)</f>
        <v>0</v>
      </c>
      <c r="H10" s="20">
        <f>COUNTIFS(الجدول1[ReportingOrganizationSource],$E10,الجدول1[Malaria Classification],H$4,الجدول1[Creation Date],"&gt;="&amp;$H$2,الجدول1[Creation Date],"&lt;="&amp;$J$2)</f>
        <v>0</v>
      </c>
      <c r="I10" s="20">
        <f>COUNTIFS(الجدول1[ReportingOrganizationSource],$E10,الجدول1[Malaria Classification],I$4,الجدول1[Creation Date],"&gt;="&amp;$H$2,الجدول1[Creation Date],"&lt;="&amp;$J$2)</f>
        <v>0</v>
      </c>
      <c r="J10" s="21">
        <f t="shared" si="0"/>
        <v>0</v>
      </c>
    </row>
    <row r="11" spans="1:10" x14ac:dyDescent="0.25">
      <c r="A11" s="26">
        <v>7</v>
      </c>
      <c r="B11" s="9">
        <v>45697</v>
      </c>
      <c r="C11" s="31">
        <v>45703</v>
      </c>
      <c r="E11" s="12"/>
      <c r="F11" s="18">
        <f>COUNTIFS(الجدول1[ReportingOrganizationSource],$E11,الجدول1[Malaria Classification],F$4,الجدول1[Creation Date],"&gt;="&amp;$H$2,الجدول1[Creation Date],"&lt;="&amp;$J$2)</f>
        <v>0</v>
      </c>
      <c r="G11" s="18">
        <f>COUNTIFS(الجدول1[ReportingOrganizationSource],$E11,الجدول1[Malaria Classification],G$4,الجدول1[Creation Date],"&gt;="&amp;$H$2,الجدول1[Creation Date],"&lt;="&amp;$J$2)</f>
        <v>0</v>
      </c>
      <c r="H11" s="18">
        <f>COUNTIFS(الجدول1[ReportingOrganizationSource],$E11,الجدول1[Malaria Classification],H$4,الجدول1[Creation Date],"&gt;="&amp;$H$2,الجدول1[Creation Date],"&lt;="&amp;$J$2)</f>
        <v>0</v>
      </c>
      <c r="I11" s="18">
        <f>COUNTIFS(الجدول1[ReportingOrganizationSource],$E11,الجدول1[Malaria Classification],I$4,الجدول1[Creation Date],"&gt;="&amp;$H$2,الجدول1[Creation Date],"&lt;="&amp;$J$2)</f>
        <v>0</v>
      </c>
      <c r="J11" s="19">
        <f t="shared" si="0"/>
        <v>0</v>
      </c>
    </row>
    <row r="12" spans="1:10" x14ac:dyDescent="0.25">
      <c r="A12" s="28">
        <v>8</v>
      </c>
      <c r="B12" s="10">
        <v>45704</v>
      </c>
      <c r="C12" s="32">
        <v>45710</v>
      </c>
      <c r="E12" s="14"/>
      <c r="F12" s="22">
        <f>COUNTIFS(الجدول1[ReportingOrganizationSource],$E12,الجدول1[Malaria Classification],F$4,الجدول1[Creation Date],"&gt;="&amp;$H$2,الجدول1[Creation Date],"&lt;="&amp;$J$2)</f>
        <v>0</v>
      </c>
      <c r="G12" s="20">
        <f>COUNTIFS(الجدول1[ReportingOrganizationSource],$E12,الجدول1[Malaria Classification],G$4,الجدول1[Creation Date],"&gt;="&amp;$H$2,الجدول1[Creation Date],"&lt;="&amp;$J$2)</f>
        <v>0</v>
      </c>
      <c r="H12" s="20">
        <f>COUNTIFS(الجدول1[ReportingOrganizationSource],$E12,الجدول1[Malaria Classification],H$4,الجدول1[Creation Date],"&gt;="&amp;$H$2,الجدول1[Creation Date],"&lt;="&amp;$J$2)</f>
        <v>0</v>
      </c>
      <c r="I12" s="20">
        <f>COUNTIFS(الجدول1[ReportingOrganizationSource],$E12,الجدول1[Malaria Classification],I$4,الجدول1[Creation Date],"&gt;="&amp;$H$2,الجدول1[Creation Date],"&lt;="&amp;$J$2)</f>
        <v>0</v>
      </c>
      <c r="J12" s="21">
        <f t="shared" si="0"/>
        <v>0</v>
      </c>
    </row>
    <row r="13" spans="1:10" x14ac:dyDescent="0.25">
      <c r="A13" s="26">
        <v>9</v>
      </c>
      <c r="B13" s="9">
        <v>45711</v>
      </c>
      <c r="C13" s="31">
        <v>45717</v>
      </c>
      <c r="E13" s="12"/>
      <c r="F13" s="23">
        <f>COUNTIFS(الجدول1[ReportingOrganizationSource],$E13,الجدول1[Malaria Classification],F$4,الجدول1[Creation Date],"&gt;="&amp;$H$2,الجدول1[Creation Date],"&lt;="&amp;$J$2)</f>
        <v>0</v>
      </c>
      <c r="G13" s="18">
        <f>COUNTIFS(الجدول1[ReportingOrganizationSource],$E13,الجدول1[Malaria Classification],G$4,الجدول1[Creation Date],"&gt;="&amp;$H$2,الجدول1[Creation Date],"&lt;="&amp;$J$2)</f>
        <v>0</v>
      </c>
      <c r="H13" s="18">
        <f>COUNTIFS(الجدول1[ReportingOrganizationSource],$E13,الجدول1[Malaria Classification],H$4,الجدول1[Creation Date],"&gt;="&amp;$H$2,الجدول1[Creation Date],"&lt;="&amp;$J$2)</f>
        <v>0</v>
      </c>
      <c r="I13" s="18">
        <f>COUNTIFS(الجدول1[ReportingOrganizationSource],$E13,الجدول1[Malaria Classification],I$4,الجدول1[Creation Date],"&gt;="&amp;$H$2,الجدول1[Creation Date],"&lt;="&amp;$J$2)</f>
        <v>0</v>
      </c>
      <c r="J13" s="19">
        <f t="shared" si="0"/>
        <v>0</v>
      </c>
    </row>
    <row r="14" spans="1:10" x14ac:dyDescent="0.25">
      <c r="A14" s="28">
        <v>10</v>
      </c>
      <c r="B14" s="10">
        <v>45718</v>
      </c>
      <c r="C14" s="32">
        <v>45724</v>
      </c>
      <c r="E14" s="14"/>
      <c r="F14" s="22">
        <f>COUNTIFS(الجدول1[ReportingOrganizationSource],$E14,الجدول1[Malaria Classification],F$4,الجدول1[Creation Date],"&gt;="&amp;$H$2,الجدول1[Creation Date],"&lt;="&amp;$J$2)</f>
        <v>0</v>
      </c>
      <c r="G14" s="20">
        <f>COUNTIFS(الجدول1[ReportingOrganizationSource],$E14,الجدول1[Malaria Classification],G$4,الجدول1[Creation Date],"&gt;="&amp;$H$2,الجدول1[Creation Date],"&lt;="&amp;$J$2)</f>
        <v>0</v>
      </c>
      <c r="H14" s="20">
        <f>COUNTIFS(الجدول1[ReportingOrganizationSource],$E14,الجدول1[Malaria Classification],H$4,الجدول1[Creation Date],"&gt;="&amp;$H$2,الجدول1[Creation Date],"&lt;="&amp;$J$2)</f>
        <v>0</v>
      </c>
      <c r="I14" s="20">
        <f>COUNTIFS(الجدول1[ReportingOrganizationSource],$E14,الجدول1[Malaria Classification],I$4,الجدول1[Creation Date],"&gt;="&amp;$H$2,الجدول1[Creation Date],"&lt;="&amp;$J$2)</f>
        <v>0</v>
      </c>
      <c r="J14" s="21">
        <f t="shared" si="0"/>
        <v>0</v>
      </c>
    </row>
    <row r="15" spans="1:10" x14ac:dyDescent="0.25">
      <c r="A15" s="26">
        <v>11</v>
      </c>
      <c r="B15" s="9">
        <v>45725</v>
      </c>
      <c r="C15" s="31">
        <v>45731</v>
      </c>
      <c r="E15" s="12"/>
      <c r="F15" s="23">
        <f>COUNTIFS(الجدول1[ReportingOrganizationSource],$E15,الجدول1[Malaria Classification],F$4,الجدول1[Creation Date],"&gt;="&amp;$H$2,الجدول1[Creation Date],"&lt;="&amp;$J$2)</f>
        <v>0</v>
      </c>
      <c r="G15" s="18">
        <f>COUNTIFS(الجدول1[ReportingOrganizationSource],$E15,الجدول1[Malaria Classification],G$4,الجدول1[Creation Date],"&gt;="&amp;$H$2,الجدول1[Creation Date],"&lt;="&amp;$J$2)</f>
        <v>0</v>
      </c>
      <c r="H15" s="18">
        <f>COUNTIFS(الجدول1[ReportingOrganizationSource],$E15,الجدول1[Malaria Classification],H$4,الجدول1[Creation Date],"&gt;="&amp;$H$2,الجدول1[Creation Date],"&lt;="&amp;$J$2)</f>
        <v>0</v>
      </c>
      <c r="I15" s="18">
        <f>COUNTIFS(الجدول1[ReportingOrganizationSource],$E15,الجدول1[Malaria Classification],I$4,الجدول1[Creation Date],"&gt;="&amp;$H$2,الجدول1[Creation Date],"&lt;="&amp;$J$2)</f>
        <v>0</v>
      </c>
      <c r="J15" s="19">
        <f t="shared" si="0"/>
        <v>0</v>
      </c>
    </row>
    <row r="16" spans="1:10" x14ac:dyDescent="0.25">
      <c r="A16" s="28">
        <v>12</v>
      </c>
      <c r="B16" s="10">
        <v>45732</v>
      </c>
      <c r="C16" s="32">
        <v>45738</v>
      </c>
      <c r="E16" s="14"/>
      <c r="F16" s="22">
        <f>COUNTIFS(الجدول1[ReportingOrganizationSource],$E16,الجدول1[Malaria Classification],F$4,الجدول1[Creation Date],"&gt;="&amp;$H$2,الجدول1[Creation Date],"&lt;="&amp;$J$2)</f>
        <v>0</v>
      </c>
      <c r="G16" s="20">
        <f>COUNTIFS(الجدول1[ReportingOrganizationSource],$E16,الجدول1[Malaria Classification],G$4,الجدول1[Creation Date],"&gt;="&amp;$H$2,الجدول1[Creation Date],"&lt;="&amp;$J$2)</f>
        <v>0</v>
      </c>
      <c r="H16" s="20">
        <f>COUNTIFS(الجدول1[ReportingOrganizationSource],$E16,الجدول1[Malaria Classification],H$4,الجدول1[Creation Date],"&gt;="&amp;$H$2,الجدول1[Creation Date],"&lt;="&amp;$J$2)</f>
        <v>0</v>
      </c>
      <c r="I16" s="20">
        <f>COUNTIFS(الجدول1[ReportingOrganizationSource],$E16,الجدول1[Malaria Classification],I$4,الجدول1[Creation Date],"&gt;="&amp;$H$2,الجدول1[Creation Date],"&lt;="&amp;$J$2)</f>
        <v>0</v>
      </c>
      <c r="J16" s="21">
        <f t="shared" si="0"/>
        <v>0</v>
      </c>
    </row>
    <row r="17" spans="1:10" x14ac:dyDescent="0.25">
      <c r="A17" s="26">
        <v>13</v>
      </c>
      <c r="B17" s="9">
        <v>45739</v>
      </c>
      <c r="C17" s="31">
        <v>45745</v>
      </c>
      <c r="E17" s="12"/>
      <c r="F17" s="23">
        <f>COUNTIFS(الجدول1[ReportingOrganizationSource],$E17,الجدول1[Malaria Classification],F$4,الجدول1[Creation Date],"&gt;="&amp;$H$2,الجدول1[Creation Date],"&lt;="&amp;$J$2)</f>
        <v>0</v>
      </c>
      <c r="G17" s="18">
        <f>COUNTIFS(الجدول1[ReportingOrganizationSource],$E17,الجدول1[Malaria Classification],G$4,الجدول1[Creation Date],"&gt;="&amp;$H$2,الجدول1[Creation Date],"&lt;="&amp;$J$2)</f>
        <v>0</v>
      </c>
      <c r="H17" s="18">
        <f>COUNTIFS(الجدول1[ReportingOrganizationSource],$E17,الجدول1[Malaria Classification],H$4,الجدول1[Creation Date],"&gt;="&amp;$H$2,الجدول1[Creation Date],"&lt;="&amp;$J$2)</f>
        <v>0</v>
      </c>
      <c r="I17" s="18">
        <f>COUNTIFS(الجدول1[ReportingOrganizationSource],$E17,الجدول1[Malaria Classification],I$4,الجدول1[Creation Date],"&gt;="&amp;$H$2,الجدول1[Creation Date],"&lt;="&amp;$J$2)</f>
        <v>0</v>
      </c>
      <c r="J17" s="19">
        <f t="shared" si="0"/>
        <v>0</v>
      </c>
    </row>
    <row r="18" spans="1:10" x14ac:dyDescent="0.25">
      <c r="A18" s="28">
        <v>14</v>
      </c>
      <c r="B18" s="10">
        <v>45746</v>
      </c>
      <c r="C18" s="32">
        <v>45752</v>
      </c>
      <c r="E18" s="14"/>
      <c r="F18" s="22">
        <f>COUNTIFS(الجدول1[ReportingOrganizationSource],$E18,الجدول1[Malaria Classification],F$4,الجدول1[Creation Date],"&gt;="&amp;$H$2,الجدول1[Creation Date],"&lt;="&amp;$J$2)</f>
        <v>0</v>
      </c>
      <c r="G18" s="20">
        <f>COUNTIFS(الجدول1[ReportingOrganizationSource],$E18,الجدول1[Malaria Classification],G$4,الجدول1[Creation Date],"&gt;="&amp;$H$2,الجدول1[Creation Date],"&lt;="&amp;$J$2)</f>
        <v>0</v>
      </c>
      <c r="H18" s="20">
        <f>COUNTIFS(الجدول1[ReportingOrganizationSource],$E18,الجدول1[Malaria Classification],H$4,الجدول1[Creation Date],"&gt;="&amp;$H$2,الجدول1[Creation Date],"&lt;="&amp;$J$2)</f>
        <v>0</v>
      </c>
      <c r="I18" s="20">
        <f>COUNTIFS(الجدول1[ReportingOrganizationSource],$E18,الجدول1[Malaria Classification],I$4,الجدول1[Creation Date],"&gt;="&amp;$H$2,الجدول1[Creation Date],"&lt;="&amp;$J$2)</f>
        <v>0</v>
      </c>
      <c r="J18" s="21">
        <f t="shared" si="0"/>
        <v>0</v>
      </c>
    </row>
    <row r="19" spans="1:10" x14ac:dyDescent="0.25">
      <c r="A19" s="26">
        <v>15</v>
      </c>
      <c r="B19" s="9">
        <v>45753</v>
      </c>
      <c r="C19" s="31">
        <v>45759</v>
      </c>
      <c r="E19" s="12"/>
      <c r="F19" s="23">
        <f>COUNTIFS(الجدول1[ReportingOrganizationSource],$E19,الجدول1[Malaria Classification],F$4,الجدول1[Creation Date],"&gt;="&amp;$H$2,الجدول1[Creation Date],"&lt;="&amp;$J$2)</f>
        <v>0</v>
      </c>
      <c r="G19" s="18">
        <f>COUNTIFS(الجدول1[ReportingOrganizationSource],$E19,الجدول1[Malaria Classification],G$4,الجدول1[Creation Date],"&gt;="&amp;$H$2,الجدول1[Creation Date],"&lt;="&amp;$J$2)</f>
        <v>0</v>
      </c>
      <c r="H19" s="18">
        <f>COUNTIFS(الجدول1[ReportingOrganizationSource],$E19,الجدول1[Malaria Classification],H$4,الجدول1[Creation Date],"&gt;="&amp;$H$2,الجدول1[Creation Date],"&lt;="&amp;$J$2)</f>
        <v>0</v>
      </c>
      <c r="I19" s="18">
        <f>COUNTIFS(الجدول1[ReportingOrganizationSource],$E19,الجدول1[Malaria Classification],I$4,الجدول1[Creation Date],"&gt;="&amp;$H$2,الجدول1[Creation Date],"&lt;="&amp;$J$2)</f>
        <v>0</v>
      </c>
      <c r="J19" s="19">
        <f t="shared" si="0"/>
        <v>0</v>
      </c>
    </row>
    <row r="20" spans="1:10" x14ac:dyDescent="0.25">
      <c r="A20" s="28">
        <v>16</v>
      </c>
      <c r="B20" s="10">
        <v>45760</v>
      </c>
      <c r="C20" s="32">
        <v>45766</v>
      </c>
      <c r="E20" s="14"/>
      <c r="F20" s="22">
        <f>COUNTIFS(الجدول1[ReportingOrganizationSource],$E20,الجدول1[Malaria Classification],F$4,الجدول1[Creation Date],"&gt;="&amp;$H$2,الجدول1[Creation Date],"&lt;="&amp;$J$2)</f>
        <v>0</v>
      </c>
      <c r="G20" s="20">
        <f>COUNTIFS(الجدول1[ReportingOrganizationSource],$E20,الجدول1[Malaria Classification],G$4,الجدول1[Creation Date],"&gt;="&amp;$H$2,الجدول1[Creation Date],"&lt;="&amp;$J$2)</f>
        <v>0</v>
      </c>
      <c r="H20" s="20">
        <f>COUNTIFS(الجدول1[ReportingOrganizationSource],$E20,الجدول1[Malaria Classification],H$4,الجدول1[Creation Date],"&gt;="&amp;$H$2,الجدول1[Creation Date],"&lt;="&amp;$J$2)</f>
        <v>0</v>
      </c>
      <c r="I20" s="20">
        <f>COUNTIFS(الجدول1[ReportingOrganizationSource],$E20,الجدول1[Malaria Classification],I$4,الجدول1[Creation Date],"&gt;="&amp;$H$2,الجدول1[Creation Date],"&lt;="&amp;$J$2)</f>
        <v>0</v>
      </c>
      <c r="J20" s="21">
        <f t="shared" si="0"/>
        <v>0</v>
      </c>
    </row>
    <row r="21" spans="1:10" x14ac:dyDescent="0.25">
      <c r="A21" s="26">
        <v>17</v>
      </c>
      <c r="B21" s="9">
        <v>45767</v>
      </c>
      <c r="C21" s="31">
        <v>45773</v>
      </c>
      <c r="E21" s="12"/>
      <c r="F21" s="23">
        <f>COUNTIFS(الجدول1[ReportingOrganizationSource],$E21,الجدول1[Malaria Classification],F$4,الجدول1[Creation Date],"&gt;="&amp;$H$2,الجدول1[Creation Date],"&lt;="&amp;$J$2)</f>
        <v>0</v>
      </c>
      <c r="G21" s="18">
        <f>COUNTIFS(الجدول1[ReportingOrganizationSource],$E21,الجدول1[Malaria Classification],G$4,الجدول1[Creation Date],"&gt;="&amp;$H$2,الجدول1[Creation Date],"&lt;="&amp;$J$2)</f>
        <v>0</v>
      </c>
      <c r="H21" s="18">
        <f>COUNTIFS(الجدول1[ReportingOrganizationSource],$E21,الجدول1[Malaria Classification],H$4,الجدول1[Creation Date],"&gt;="&amp;$H$2,الجدول1[Creation Date],"&lt;="&amp;$J$2)</f>
        <v>0</v>
      </c>
      <c r="I21" s="18">
        <f>COUNTIFS(الجدول1[ReportingOrganizationSource],$E21,الجدول1[Malaria Classification],I$4,الجدول1[Creation Date],"&gt;="&amp;$H$2,الجدول1[Creation Date],"&lt;="&amp;$J$2)</f>
        <v>0</v>
      </c>
      <c r="J21" s="19">
        <f t="shared" si="0"/>
        <v>0</v>
      </c>
    </row>
    <row r="22" spans="1:10" x14ac:dyDescent="0.25">
      <c r="A22" s="28">
        <v>18</v>
      </c>
      <c r="B22" s="10">
        <v>45774</v>
      </c>
      <c r="C22" s="32">
        <v>45780</v>
      </c>
      <c r="E22" s="14"/>
      <c r="F22" s="22">
        <f>COUNTIFS(الجدول1[ReportingOrganizationSource],$E22,الجدول1[Malaria Classification],F$4,الجدول1[Creation Date],"&gt;="&amp;$H$2,الجدول1[Creation Date],"&lt;="&amp;$J$2)</f>
        <v>0</v>
      </c>
      <c r="G22" s="20">
        <f>COUNTIFS(الجدول1[ReportingOrganizationSource],$E22,الجدول1[Malaria Classification],G$4,الجدول1[Creation Date],"&gt;="&amp;$H$2,الجدول1[Creation Date],"&lt;="&amp;$J$2)</f>
        <v>0</v>
      </c>
      <c r="H22" s="20">
        <f>COUNTIFS(الجدول1[ReportingOrganizationSource],$E22,الجدول1[Malaria Classification],H$4,الجدول1[Creation Date],"&gt;="&amp;$H$2,الجدول1[Creation Date],"&lt;="&amp;$J$2)</f>
        <v>0</v>
      </c>
      <c r="I22" s="20">
        <f>COUNTIFS(الجدول1[ReportingOrganizationSource],$E22,الجدول1[Malaria Classification],I$4,الجدول1[Creation Date],"&gt;="&amp;$H$2,الجدول1[Creation Date],"&lt;="&amp;$J$2)</f>
        <v>0</v>
      </c>
      <c r="J22" s="21">
        <f t="shared" si="0"/>
        <v>0</v>
      </c>
    </row>
    <row r="23" spans="1:10" x14ac:dyDescent="0.25">
      <c r="A23" s="26">
        <v>19</v>
      </c>
      <c r="B23" s="9">
        <v>45781</v>
      </c>
      <c r="C23" s="31">
        <v>45787</v>
      </c>
      <c r="E23" s="12"/>
      <c r="F23" s="23">
        <f>COUNTIFS(الجدول1[ReportingOrganizationSource],$E23,الجدول1[Malaria Classification],F$4,الجدول1[Creation Date],"&gt;="&amp;$H$2,الجدول1[Creation Date],"&lt;="&amp;$J$2)</f>
        <v>0</v>
      </c>
      <c r="G23" s="18">
        <f>COUNTIFS(الجدول1[ReportingOrganizationSource],$E23,الجدول1[Malaria Classification],G$4,الجدول1[Creation Date],"&gt;="&amp;$H$2,الجدول1[Creation Date],"&lt;="&amp;$J$2)</f>
        <v>0</v>
      </c>
      <c r="H23" s="18">
        <f>COUNTIFS(الجدول1[ReportingOrganizationSource],$E23,الجدول1[Malaria Classification],H$4,الجدول1[Creation Date],"&gt;="&amp;$H$2,الجدول1[Creation Date],"&lt;="&amp;$J$2)</f>
        <v>0</v>
      </c>
      <c r="I23" s="18">
        <f>COUNTIFS(الجدول1[ReportingOrganizationSource],$E23,الجدول1[Malaria Classification],I$4,الجدول1[Creation Date],"&gt;="&amp;$H$2,الجدول1[Creation Date],"&lt;="&amp;$J$2)</f>
        <v>0</v>
      </c>
      <c r="J23" s="19">
        <f t="shared" si="0"/>
        <v>0</v>
      </c>
    </row>
    <row r="24" spans="1:10" x14ac:dyDescent="0.25">
      <c r="A24" s="28">
        <v>20</v>
      </c>
      <c r="B24" s="10">
        <v>45788</v>
      </c>
      <c r="C24" s="32">
        <v>45794</v>
      </c>
      <c r="E24" s="14"/>
      <c r="F24" s="22">
        <f>COUNTIFS(الجدول1[ReportingOrganizationSource],$E24,الجدول1[Malaria Classification],F$4,الجدول1[Creation Date],"&gt;="&amp;$H$2,الجدول1[Creation Date],"&lt;="&amp;$J$2)</f>
        <v>0</v>
      </c>
      <c r="G24" s="20">
        <f>COUNTIFS(الجدول1[ReportingOrganizationSource],$E24,الجدول1[Malaria Classification],G$4,الجدول1[Creation Date],"&gt;="&amp;$H$2,الجدول1[Creation Date],"&lt;="&amp;$J$2)</f>
        <v>0</v>
      </c>
      <c r="H24" s="20">
        <f>COUNTIFS(الجدول1[ReportingOrganizationSource],$E24,الجدول1[Malaria Classification],H$4,الجدول1[Creation Date],"&gt;="&amp;$H$2,الجدول1[Creation Date],"&lt;="&amp;$J$2)</f>
        <v>0</v>
      </c>
      <c r="I24" s="20">
        <f>COUNTIFS(الجدول1[ReportingOrganizationSource],$E24,الجدول1[Malaria Classification],I$4,الجدول1[Creation Date],"&gt;="&amp;$H$2,الجدول1[Creation Date],"&lt;="&amp;$J$2)</f>
        <v>0</v>
      </c>
      <c r="J24" s="21">
        <f t="shared" si="0"/>
        <v>0</v>
      </c>
    </row>
    <row r="25" spans="1:10" x14ac:dyDescent="0.25">
      <c r="A25" s="26">
        <v>21</v>
      </c>
      <c r="B25" s="9">
        <v>45795</v>
      </c>
      <c r="C25" s="31">
        <v>45801</v>
      </c>
      <c r="E25" s="12"/>
      <c r="F25" s="23">
        <f>COUNTIFS(الجدول1[ReportingOrganizationSource],$E25,الجدول1[Malaria Classification],F$4,الجدول1[Creation Date],"&gt;="&amp;$H$2,الجدول1[Creation Date],"&lt;="&amp;$J$2)</f>
        <v>0</v>
      </c>
      <c r="G25" s="18">
        <f>COUNTIFS(الجدول1[ReportingOrganizationSource],$E25,الجدول1[Malaria Classification],G$4,الجدول1[Creation Date],"&gt;="&amp;$H$2,الجدول1[Creation Date],"&lt;="&amp;$J$2)</f>
        <v>0</v>
      </c>
      <c r="H25" s="18">
        <f>COUNTIFS(الجدول1[ReportingOrganizationSource],$E25,الجدول1[Malaria Classification],H$4,الجدول1[Creation Date],"&gt;="&amp;$H$2,الجدول1[Creation Date],"&lt;="&amp;$J$2)</f>
        <v>0</v>
      </c>
      <c r="I25" s="18">
        <f>COUNTIFS(الجدول1[ReportingOrganizationSource],$E25,الجدول1[Malaria Classification],I$4,الجدول1[Creation Date],"&gt;="&amp;$H$2,الجدول1[Creation Date],"&lt;="&amp;$J$2)</f>
        <v>0</v>
      </c>
      <c r="J25" s="19">
        <f t="shared" si="0"/>
        <v>0</v>
      </c>
    </row>
    <row r="26" spans="1:10" x14ac:dyDescent="0.25">
      <c r="A26" s="28">
        <v>22</v>
      </c>
      <c r="B26" s="10">
        <v>45802</v>
      </c>
      <c r="C26" s="32">
        <v>45808</v>
      </c>
      <c r="E26" s="14"/>
      <c r="F26" s="22">
        <f>COUNTIFS(الجدول1[ReportingOrganizationSource],$E26,الجدول1[Malaria Classification],F$4,الجدول1[Creation Date],"&gt;="&amp;$H$2,الجدول1[Creation Date],"&lt;="&amp;$J$2)</f>
        <v>0</v>
      </c>
      <c r="G26" s="20">
        <f>COUNTIFS(الجدول1[ReportingOrganizationSource],$E26,الجدول1[Malaria Classification],G$4,الجدول1[Creation Date],"&gt;="&amp;$H$2,الجدول1[Creation Date],"&lt;="&amp;$J$2)</f>
        <v>0</v>
      </c>
      <c r="H26" s="20">
        <f>COUNTIFS(الجدول1[ReportingOrganizationSource],$E26,الجدول1[Malaria Classification],H$4,الجدول1[Creation Date],"&gt;="&amp;$H$2,الجدول1[Creation Date],"&lt;="&amp;$J$2)</f>
        <v>0</v>
      </c>
      <c r="I26" s="20">
        <f>COUNTIFS(الجدول1[ReportingOrganizationSource],$E26,الجدول1[Malaria Classification],I$4,الجدول1[Creation Date],"&gt;="&amp;$H$2,الجدول1[Creation Date],"&lt;="&amp;$J$2)</f>
        <v>0</v>
      </c>
      <c r="J26" s="21">
        <f t="shared" si="0"/>
        <v>0</v>
      </c>
    </row>
    <row r="27" spans="1:10" x14ac:dyDescent="0.25">
      <c r="A27" s="26">
        <v>23</v>
      </c>
      <c r="B27" s="9">
        <v>45809</v>
      </c>
      <c r="C27" s="31">
        <v>45815</v>
      </c>
      <c r="E27" s="12"/>
      <c r="F27" s="23">
        <f>COUNTIFS(الجدول1[ReportingOrganizationSource],$E27,الجدول1[Malaria Classification],F$4,الجدول1[Creation Date],"&gt;="&amp;$H$2,الجدول1[Creation Date],"&lt;="&amp;$J$2)</f>
        <v>0</v>
      </c>
      <c r="G27" s="18">
        <f>COUNTIFS(الجدول1[ReportingOrganizationSource],$E27,الجدول1[Malaria Classification],G$4,الجدول1[Creation Date],"&gt;="&amp;$H$2,الجدول1[Creation Date],"&lt;="&amp;$J$2)</f>
        <v>0</v>
      </c>
      <c r="H27" s="18">
        <f>COUNTIFS(الجدول1[ReportingOrganizationSource],$E27,الجدول1[Malaria Classification],H$4,الجدول1[Creation Date],"&gt;="&amp;$H$2,الجدول1[Creation Date],"&lt;="&amp;$J$2)</f>
        <v>0</v>
      </c>
      <c r="I27" s="18">
        <f>COUNTIFS(الجدول1[ReportingOrganizationSource],$E27,الجدول1[Malaria Classification],I$4,الجدول1[Creation Date],"&gt;="&amp;$H$2,الجدول1[Creation Date],"&lt;="&amp;$J$2)</f>
        <v>0</v>
      </c>
      <c r="J27" s="19">
        <f t="shared" si="0"/>
        <v>0</v>
      </c>
    </row>
    <row r="28" spans="1:10" x14ac:dyDescent="0.25">
      <c r="A28" s="28">
        <v>24</v>
      </c>
      <c r="B28" s="10">
        <v>45816</v>
      </c>
      <c r="C28" s="32">
        <v>45822</v>
      </c>
      <c r="E28" s="14"/>
      <c r="F28" s="22">
        <f>COUNTIFS(الجدول1[ReportingOrganizationSource],$E28,الجدول1[Malaria Classification],F$4,الجدول1[Creation Date],"&gt;="&amp;$H$2,الجدول1[Creation Date],"&lt;="&amp;$J$2)</f>
        <v>0</v>
      </c>
      <c r="G28" s="20">
        <f>COUNTIFS(الجدول1[ReportingOrganizationSource],$E28,الجدول1[Malaria Classification],G$4,الجدول1[Creation Date],"&gt;="&amp;$H$2,الجدول1[Creation Date],"&lt;="&amp;$J$2)</f>
        <v>0</v>
      </c>
      <c r="H28" s="20">
        <f>COUNTIFS(الجدول1[ReportingOrganizationSource],$E28,الجدول1[Malaria Classification],H$4,الجدول1[Creation Date],"&gt;="&amp;$H$2,الجدول1[Creation Date],"&lt;="&amp;$J$2)</f>
        <v>0</v>
      </c>
      <c r="I28" s="20">
        <f>COUNTIFS(الجدول1[ReportingOrganizationSource],$E28,الجدول1[Malaria Classification],I$4,الجدول1[Creation Date],"&gt;="&amp;$H$2,الجدول1[Creation Date],"&lt;="&amp;$J$2)</f>
        <v>0</v>
      </c>
      <c r="J28" s="21">
        <f t="shared" si="0"/>
        <v>0</v>
      </c>
    </row>
    <row r="29" spans="1:10" x14ac:dyDescent="0.25">
      <c r="A29" s="26">
        <v>25</v>
      </c>
      <c r="B29" s="9">
        <v>45823</v>
      </c>
      <c r="C29" s="31">
        <v>45829</v>
      </c>
      <c r="E29" s="12"/>
      <c r="F29" s="23">
        <f>COUNTIFS(الجدول1[ReportingOrganizationSource],$E29,الجدول1[Malaria Classification],F$4,الجدول1[Creation Date],"&gt;="&amp;$H$2,الجدول1[Creation Date],"&lt;="&amp;$J$2)</f>
        <v>0</v>
      </c>
      <c r="G29" s="18">
        <f>COUNTIFS(الجدول1[ReportingOrganizationSource],$E29,الجدول1[Malaria Classification],G$4,الجدول1[Creation Date],"&gt;="&amp;$H$2,الجدول1[Creation Date],"&lt;="&amp;$J$2)</f>
        <v>0</v>
      </c>
      <c r="H29" s="18">
        <f>COUNTIFS(الجدول1[ReportingOrganizationSource],$E29,الجدول1[Malaria Classification],H$4,الجدول1[Creation Date],"&gt;="&amp;$H$2,الجدول1[Creation Date],"&lt;="&amp;$J$2)</f>
        <v>0</v>
      </c>
      <c r="I29" s="18">
        <f>COUNTIFS(الجدول1[ReportingOrganizationSource],$E29,الجدول1[Malaria Classification],I$4,الجدول1[Creation Date],"&gt;="&amp;$H$2,الجدول1[Creation Date],"&lt;="&amp;$J$2)</f>
        <v>0</v>
      </c>
      <c r="J29" s="19">
        <f t="shared" si="0"/>
        <v>0</v>
      </c>
    </row>
    <row r="30" spans="1:10" x14ac:dyDescent="0.25">
      <c r="A30" s="28">
        <v>26</v>
      </c>
      <c r="B30" s="10">
        <v>45830</v>
      </c>
      <c r="C30" s="32">
        <v>45836</v>
      </c>
      <c r="E30" s="14"/>
      <c r="F30" s="22">
        <f>COUNTIFS(الجدول1[ReportingOrganizationSource],$E30,الجدول1[Malaria Classification],F$4,الجدول1[Creation Date],"&gt;="&amp;$H$2,الجدول1[Creation Date],"&lt;="&amp;$J$2)</f>
        <v>0</v>
      </c>
      <c r="G30" s="20">
        <f>COUNTIFS(الجدول1[ReportingOrganizationSource],$E30,الجدول1[Malaria Classification],G$4,الجدول1[Creation Date],"&gt;="&amp;$H$2,الجدول1[Creation Date],"&lt;="&amp;$J$2)</f>
        <v>0</v>
      </c>
      <c r="H30" s="20">
        <f>COUNTIFS(الجدول1[ReportingOrganizationSource],$E30,الجدول1[Malaria Classification],H$4,الجدول1[Creation Date],"&gt;="&amp;$H$2,الجدول1[Creation Date],"&lt;="&amp;$J$2)</f>
        <v>0</v>
      </c>
      <c r="I30" s="20">
        <f>COUNTIFS(الجدول1[ReportingOrganizationSource],$E30,الجدول1[Malaria Classification],I$4,الجدول1[Creation Date],"&gt;="&amp;$H$2,الجدول1[Creation Date],"&lt;="&amp;$J$2)</f>
        <v>0</v>
      </c>
      <c r="J30" s="21">
        <f t="shared" si="0"/>
        <v>0</v>
      </c>
    </row>
    <row r="31" spans="1:10" x14ac:dyDescent="0.25">
      <c r="A31" s="26">
        <v>27</v>
      </c>
      <c r="B31" s="9">
        <v>45837</v>
      </c>
      <c r="C31" s="31">
        <v>45843</v>
      </c>
      <c r="E31" s="12"/>
      <c r="F31" s="23">
        <f>COUNTIFS(الجدول1[ReportingOrganizationSource],$E31,الجدول1[Malaria Classification],F$4,الجدول1[Creation Date],"&gt;="&amp;$H$2,الجدول1[Creation Date],"&lt;="&amp;$J$2)</f>
        <v>0</v>
      </c>
      <c r="G31" s="18">
        <f>COUNTIFS(الجدول1[ReportingOrganizationSource],$E31,الجدول1[Malaria Classification],G$4,الجدول1[Creation Date],"&gt;="&amp;$H$2,الجدول1[Creation Date],"&lt;="&amp;$J$2)</f>
        <v>0</v>
      </c>
      <c r="H31" s="18">
        <f>COUNTIFS(الجدول1[ReportingOrganizationSource],$E31,الجدول1[Malaria Classification],H$4,الجدول1[Creation Date],"&gt;="&amp;$H$2,الجدول1[Creation Date],"&lt;="&amp;$J$2)</f>
        <v>0</v>
      </c>
      <c r="I31" s="18">
        <f>COUNTIFS(الجدول1[ReportingOrganizationSource],$E31,الجدول1[Malaria Classification],I$4,الجدول1[Creation Date],"&gt;="&amp;$H$2,الجدول1[Creation Date],"&lt;="&amp;$J$2)</f>
        <v>0</v>
      </c>
      <c r="J31" s="19">
        <f t="shared" si="0"/>
        <v>0</v>
      </c>
    </row>
    <row r="32" spans="1:10" x14ac:dyDescent="0.25">
      <c r="A32" s="28">
        <v>28</v>
      </c>
      <c r="B32" s="10">
        <v>45844</v>
      </c>
      <c r="C32" s="32">
        <v>45850</v>
      </c>
      <c r="E32" s="14"/>
      <c r="F32" s="22">
        <f>COUNTIFS(الجدول1[ReportingOrganizationSource],$E32,الجدول1[Malaria Classification],F$4,الجدول1[Creation Date],"&gt;="&amp;$H$2,الجدول1[Creation Date],"&lt;="&amp;$J$2)</f>
        <v>0</v>
      </c>
      <c r="G32" s="20">
        <f>COUNTIFS(الجدول1[ReportingOrganizationSource],$E32,الجدول1[Malaria Classification],G$4,الجدول1[Creation Date],"&gt;="&amp;$H$2,الجدول1[Creation Date],"&lt;="&amp;$J$2)</f>
        <v>0</v>
      </c>
      <c r="H32" s="20">
        <f>COUNTIFS(الجدول1[ReportingOrganizationSource],$E32,الجدول1[Malaria Classification],H$4,الجدول1[Creation Date],"&gt;="&amp;$H$2,الجدول1[Creation Date],"&lt;="&amp;$J$2)</f>
        <v>0</v>
      </c>
      <c r="I32" s="20">
        <f>COUNTIFS(الجدول1[ReportingOrganizationSource],$E32,الجدول1[Malaria Classification],I$4,الجدول1[Creation Date],"&gt;="&amp;$H$2,الجدول1[Creation Date],"&lt;="&amp;$J$2)</f>
        <v>0</v>
      </c>
      <c r="J32" s="21">
        <f t="shared" si="0"/>
        <v>0</v>
      </c>
    </row>
    <row r="33" spans="1:10" x14ac:dyDescent="0.25">
      <c r="A33" s="26">
        <v>29</v>
      </c>
      <c r="B33" s="9">
        <v>45851</v>
      </c>
      <c r="C33" s="31">
        <v>45857</v>
      </c>
      <c r="E33" s="12"/>
      <c r="F33" s="23">
        <f>COUNTIFS(الجدول1[ReportingOrganizationSource],$E33,الجدول1[Malaria Classification],F$4,الجدول1[Creation Date],"&gt;="&amp;$H$2,الجدول1[Creation Date],"&lt;="&amp;$J$2)</f>
        <v>0</v>
      </c>
      <c r="G33" s="18">
        <f>COUNTIFS(الجدول1[ReportingOrganizationSource],$E33,الجدول1[Malaria Classification],G$4,الجدول1[Creation Date],"&gt;="&amp;$H$2,الجدول1[Creation Date],"&lt;="&amp;$J$2)</f>
        <v>0</v>
      </c>
      <c r="H33" s="18">
        <f>COUNTIFS(الجدول1[ReportingOrganizationSource],$E33,الجدول1[Malaria Classification],H$4,الجدول1[Creation Date],"&gt;="&amp;$H$2,الجدول1[Creation Date],"&lt;="&amp;$J$2)</f>
        <v>0</v>
      </c>
      <c r="I33" s="18">
        <f>COUNTIFS(الجدول1[ReportingOrganizationSource],$E33,الجدول1[Malaria Classification],I$4,الجدول1[Creation Date],"&gt;="&amp;$H$2,الجدول1[Creation Date],"&lt;="&amp;$J$2)</f>
        <v>0</v>
      </c>
      <c r="J33" s="19">
        <f t="shared" si="0"/>
        <v>0</v>
      </c>
    </row>
    <row r="34" spans="1:10" x14ac:dyDescent="0.25">
      <c r="A34" s="28">
        <v>30</v>
      </c>
      <c r="B34" s="10">
        <v>45858</v>
      </c>
      <c r="C34" s="32">
        <v>45864</v>
      </c>
      <c r="E34" s="14"/>
      <c r="F34" s="22">
        <f>COUNTIFS(الجدول1[ReportingOrganizationSource],$E34,الجدول1[Malaria Classification],F$4,الجدول1[Creation Date],"&gt;="&amp;$H$2,الجدول1[Creation Date],"&lt;="&amp;$J$2)</f>
        <v>0</v>
      </c>
      <c r="G34" s="20">
        <f>COUNTIFS(الجدول1[ReportingOrganizationSource],$E34,الجدول1[Malaria Classification],G$4,الجدول1[Creation Date],"&gt;="&amp;$H$2,الجدول1[Creation Date],"&lt;="&amp;$J$2)</f>
        <v>0</v>
      </c>
      <c r="H34" s="20">
        <f>COUNTIFS(الجدول1[ReportingOrganizationSource],$E34,الجدول1[Malaria Classification],H$4,الجدول1[Creation Date],"&gt;="&amp;$H$2,الجدول1[Creation Date],"&lt;="&amp;$J$2)</f>
        <v>0</v>
      </c>
      <c r="I34" s="20">
        <f>COUNTIFS(الجدول1[ReportingOrganizationSource],$E34,الجدول1[Malaria Classification],I$4,الجدول1[Creation Date],"&gt;="&amp;$H$2,الجدول1[Creation Date],"&lt;="&amp;$J$2)</f>
        <v>0</v>
      </c>
      <c r="J34" s="21">
        <f t="shared" si="0"/>
        <v>0</v>
      </c>
    </row>
    <row r="35" spans="1:10" x14ac:dyDescent="0.25">
      <c r="A35" s="26">
        <v>31</v>
      </c>
      <c r="B35" s="9">
        <v>45865</v>
      </c>
      <c r="C35" s="31">
        <v>45871</v>
      </c>
      <c r="F35" s="15">
        <f>SUM(F5:F34)</f>
        <v>4</v>
      </c>
      <c r="G35" s="15">
        <f>SUM(G5:G34)</f>
        <v>6</v>
      </c>
      <c r="H35" s="15">
        <f>SUM(H5:H34)</f>
        <v>0</v>
      </c>
      <c r="I35" s="15">
        <f>SUM(I5:I34)</f>
        <v>0</v>
      </c>
      <c r="J35" s="44">
        <f>SUM(J5:J34)</f>
        <v>10</v>
      </c>
    </row>
    <row r="36" spans="1:10" x14ac:dyDescent="0.25">
      <c r="A36" s="28">
        <v>32</v>
      </c>
      <c r="B36" s="10">
        <v>45872</v>
      </c>
      <c r="C36" s="32">
        <v>45878</v>
      </c>
    </row>
    <row r="37" spans="1:10" x14ac:dyDescent="0.25">
      <c r="A37" s="26">
        <v>33</v>
      </c>
      <c r="B37" s="9">
        <v>45879</v>
      </c>
      <c r="C37" s="31">
        <v>45885</v>
      </c>
    </row>
    <row r="38" spans="1:10" x14ac:dyDescent="0.25">
      <c r="A38" s="28">
        <v>34</v>
      </c>
      <c r="B38" s="10">
        <v>45886</v>
      </c>
      <c r="C38" s="32">
        <v>45892</v>
      </c>
    </row>
    <row r="39" spans="1:10" x14ac:dyDescent="0.25">
      <c r="A39" s="26">
        <v>35</v>
      </c>
      <c r="B39" s="9">
        <v>45893</v>
      </c>
      <c r="C39" s="31">
        <v>45899</v>
      </c>
    </row>
    <row r="40" spans="1:10" x14ac:dyDescent="0.25">
      <c r="A40" s="28">
        <v>36</v>
      </c>
      <c r="B40" s="10">
        <v>45900</v>
      </c>
      <c r="C40" s="32">
        <v>45906</v>
      </c>
    </row>
    <row r="41" spans="1:10" x14ac:dyDescent="0.25">
      <c r="A41" s="26">
        <v>37</v>
      </c>
      <c r="B41" s="9">
        <v>45907</v>
      </c>
      <c r="C41" s="31">
        <v>45913</v>
      </c>
    </row>
    <row r="42" spans="1:10" x14ac:dyDescent="0.25">
      <c r="A42" s="28">
        <v>38</v>
      </c>
      <c r="B42" s="10">
        <v>45914</v>
      </c>
      <c r="C42" s="32">
        <v>45920</v>
      </c>
    </row>
    <row r="43" spans="1:10" x14ac:dyDescent="0.25">
      <c r="A43" s="26">
        <v>39</v>
      </c>
      <c r="B43" s="9">
        <v>45921</v>
      </c>
      <c r="C43" s="31">
        <v>45927</v>
      </c>
    </row>
    <row r="44" spans="1:10" x14ac:dyDescent="0.25">
      <c r="A44" s="28">
        <v>40</v>
      </c>
      <c r="B44" s="10">
        <v>45928</v>
      </c>
      <c r="C44" s="32">
        <v>45934</v>
      </c>
    </row>
    <row r="45" spans="1:10" x14ac:dyDescent="0.25">
      <c r="A45" s="26">
        <v>41</v>
      </c>
      <c r="B45" s="9">
        <v>45935</v>
      </c>
      <c r="C45" s="31">
        <v>45941</v>
      </c>
    </row>
    <row r="46" spans="1:10" x14ac:dyDescent="0.25">
      <c r="A46" s="28">
        <v>42</v>
      </c>
      <c r="B46" s="10">
        <v>45942</v>
      </c>
      <c r="C46" s="32">
        <v>45948</v>
      </c>
    </row>
    <row r="47" spans="1:10" x14ac:dyDescent="0.25">
      <c r="A47" s="26">
        <v>43</v>
      </c>
      <c r="B47" s="9">
        <v>45949</v>
      </c>
      <c r="C47" s="31">
        <v>45955</v>
      </c>
    </row>
    <row r="48" spans="1:10" x14ac:dyDescent="0.25">
      <c r="A48" s="28">
        <v>44</v>
      </c>
      <c r="B48" s="10">
        <v>45956</v>
      </c>
      <c r="C48" s="32">
        <v>45962</v>
      </c>
    </row>
    <row r="49" spans="1:3" x14ac:dyDescent="0.25">
      <c r="A49" s="26">
        <v>45</v>
      </c>
      <c r="B49" s="9">
        <v>45963</v>
      </c>
      <c r="C49" s="31">
        <v>45969</v>
      </c>
    </row>
    <row r="50" spans="1:3" x14ac:dyDescent="0.25">
      <c r="A50" s="28">
        <v>46</v>
      </c>
      <c r="B50" s="10">
        <v>45970</v>
      </c>
      <c r="C50" s="32">
        <v>45976</v>
      </c>
    </row>
    <row r="51" spans="1:3" x14ac:dyDescent="0.25">
      <c r="A51" s="26">
        <v>47</v>
      </c>
      <c r="B51" s="9">
        <v>45977</v>
      </c>
      <c r="C51" s="31">
        <v>45983</v>
      </c>
    </row>
    <row r="52" spans="1:3" x14ac:dyDescent="0.25">
      <c r="A52" s="28">
        <v>48</v>
      </c>
      <c r="B52" s="10">
        <v>45984</v>
      </c>
      <c r="C52" s="32">
        <v>45990</v>
      </c>
    </row>
    <row r="53" spans="1:3" x14ac:dyDescent="0.25">
      <c r="A53" s="26">
        <v>49</v>
      </c>
      <c r="B53" s="9">
        <v>45991</v>
      </c>
      <c r="C53" s="31">
        <v>45997</v>
      </c>
    </row>
    <row r="54" spans="1:3" x14ac:dyDescent="0.25">
      <c r="A54" s="28">
        <v>50</v>
      </c>
      <c r="B54" s="10">
        <v>45998</v>
      </c>
      <c r="C54" s="32">
        <v>46004</v>
      </c>
    </row>
    <row r="55" spans="1:3" x14ac:dyDescent="0.25">
      <c r="A55" s="26">
        <v>51</v>
      </c>
      <c r="B55" s="9">
        <v>46005</v>
      </c>
      <c r="C55" s="31">
        <v>46011</v>
      </c>
    </row>
    <row r="56" spans="1:3" x14ac:dyDescent="0.25">
      <c r="A56" s="28">
        <v>52</v>
      </c>
      <c r="B56" s="10">
        <v>46012</v>
      </c>
      <c r="C56" s="32">
        <v>46018</v>
      </c>
    </row>
    <row r="57" spans="1:3" x14ac:dyDescent="0.25">
      <c r="A57" s="36">
        <v>53</v>
      </c>
      <c r="B57" s="37">
        <v>46019</v>
      </c>
      <c r="C57" s="38">
        <v>46025</v>
      </c>
    </row>
    <row r="58" spans="1:3" x14ac:dyDescent="0.25">
      <c r="A58" s="39" t="s">
        <v>276</v>
      </c>
      <c r="B58" s="40">
        <v>45658</v>
      </c>
      <c r="C58" s="41">
        <v>45688</v>
      </c>
    </row>
    <row r="59" spans="1:3" x14ac:dyDescent="0.25">
      <c r="A59" s="39" t="s">
        <v>277</v>
      </c>
      <c r="B59" s="40">
        <v>45689</v>
      </c>
      <c r="C59" s="41">
        <v>45716</v>
      </c>
    </row>
    <row r="60" spans="1:3" x14ac:dyDescent="0.25">
      <c r="A60" s="39" t="s">
        <v>278</v>
      </c>
      <c r="B60" s="40">
        <v>45717</v>
      </c>
      <c r="C60" s="41">
        <v>45747</v>
      </c>
    </row>
    <row r="61" spans="1:3" x14ac:dyDescent="0.25">
      <c r="A61" s="39" t="s">
        <v>279</v>
      </c>
      <c r="B61" s="40">
        <v>45748</v>
      </c>
      <c r="C61" s="41">
        <v>45777</v>
      </c>
    </row>
    <row r="62" spans="1:3" x14ac:dyDescent="0.25">
      <c r="A62" s="39" t="s">
        <v>280</v>
      </c>
      <c r="B62" s="40">
        <v>45778</v>
      </c>
      <c r="C62" s="41">
        <v>45808</v>
      </c>
    </row>
    <row r="63" spans="1:3" x14ac:dyDescent="0.25">
      <c r="A63" s="39" t="s">
        <v>281</v>
      </c>
      <c r="B63" s="40">
        <v>45809</v>
      </c>
      <c r="C63" s="41">
        <v>45838</v>
      </c>
    </row>
    <row r="64" spans="1:3" x14ac:dyDescent="0.25">
      <c r="A64" s="39" t="s">
        <v>282</v>
      </c>
      <c r="B64" s="40">
        <v>45839</v>
      </c>
      <c r="C64" s="41">
        <v>45869</v>
      </c>
    </row>
    <row r="65" spans="1:3" x14ac:dyDescent="0.25">
      <c r="A65" s="39" t="s">
        <v>283</v>
      </c>
      <c r="B65" s="40">
        <v>45870</v>
      </c>
      <c r="C65" s="41">
        <v>45900</v>
      </c>
    </row>
    <row r="66" spans="1:3" x14ac:dyDescent="0.25">
      <c r="A66" s="39" t="s">
        <v>284</v>
      </c>
      <c r="B66" s="40">
        <v>45901</v>
      </c>
      <c r="C66" s="41">
        <v>45930</v>
      </c>
    </row>
    <row r="67" spans="1:3" x14ac:dyDescent="0.25">
      <c r="A67" s="39" t="s">
        <v>285</v>
      </c>
      <c r="B67" s="40">
        <v>45931</v>
      </c>
      <c r="C67" s="41">
        <v>45961</v>
      </c>
    </row>
    <row r="68" spans="1:3" x14ac:dyDescent="0.25">
      <c r="A68" s="39" t="s">
        <v>286</v>
      </c>
      <c r="B68" s="40">
        <v>45962</v>
      </c>
      <c r="C68" s="41">
        <v>45991</v>
      </c>
    </row>
    <row r="69" spans="1:3" x14ac:dyDescent="0.25">
      <c r="A69" s="39" t="s">
        <v>287</v>
      </c>
      <c r="B69" s="40">
        <v>45992</v>
      </c>
      <c r="C69" s="41">
        <v>46022</v>
      </c>
    </row>
  </sheetData>
  <phoneticPr fontId="6" type="noConversion"/>
  <dataValidations count="1">
    <dataValidation type="list" showInputMessage="1" showErrorMessage="1" sqref="F2" xr:uid="{8671C80C-A005-4BAA-B00E-BFD5D77D63EF}">
      <formula1>$A:$A</formula1>
    </dataValidation>
  </dataValidations>
  <printOptions horizontalCentered="1" verticalCentered="1"/>
  <pageMargins left="0.25" right="0.25" top="0.75" bottom="0.75" header="0.3" footer="0.3"/>
  <pageSetup paperSize="9" scale="78" fitToHeight="0" orientation="portrait" r:id="rId1"/>
  <rowBreaks count="1" manualBreakCount="1">
    <brk id="34" max="9" man="1"/>
  </rowBreaks>
  <colBreaks count="1" manualBreakCount="1">
    <brk id="4" max="1048575" man="1"/>
  </colBreak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2D1A2-017E-435B-8850-6B843625C4B6}">
  <dimension ref="A1:AB17"/>
  <sheetViews>
    <sheetView rightToLeft="1" workbookViewId="0">
      <selection activeCell="A14" sqref="A5:A16"/>
      <pivotSelection pane="bottomRight" showHeader="1" axis="axisRow" activeRow="13" previousRow="13" click="1" r:id="rId1">
        <pivotArea dataOnly="0" labelOnly="1" fieldPosition="0">
          <references count="1">
            <reference field="33" count="0"/>
          </references>
        </pivotArea>
      </pivotSelection>
    </sheetView>
  </sheetViews>
  <sheetFormatPr defaultRowHeight="14.25" x14ac:dyDescent="0.2"/>
  <cols>
    <col min="1" max="1" width="18.25" bestFit="1" customWidth="1"/>
    <col min="2" max="2" width="12.375" bestFit="1" customWidth="1"/>
    <col min="3" max="3" width="6.75" bestFit="1" customWidth="1"/>
    <col min="4" max="4" width="6" bestFit="1" customWidth="1"/>
    <col min="5" max="5" width="5" bestFit="1" customWidth="1"/>
    <col min="6" max="6" width="6.875" bestFit="1" customWidth="1"/>
    <col min="7" max="7" width="5.125" bestFit="1" customWidth="1"/>
    <col min="8" max="8" width="3.875" bestFit="1" customWidth="1"/>
    <col min="9" max="9" width="4.125" bestFit="1" customWidth="1"/>
    <col min="10" max="10" width="4.625" bestFit="1" customWidth="1"/>
    <col min="11" max="11" width="4.875" bestFit="1" customWidth="1"/>
    <col min="12" max="12" width="5.625" bestFit="1" customWidth="1"/>
    <col min="13" max="13" width="6.625" bestFit="1" customWidth="1"/>
    <col min="14" max="14" width="8.25" bestFit="1" customWidth="1"/>
    <col min="15" max="15" width="3.625" bestFit="1" customWidth="1"/>
    <col min="16" max="16" width="4.125" bestFit="1" customWidth="1"/>
    <col min="17" max="17" width="7" bestFit="1" customWidth="1"/>
    <col min="18" max="18" width="7.875" bestFit="1" customWidth="1"/>
    <col min="19" max="19" width="16.5" bestFit="1" customWidth="1"/>
    <col min="20" max="20" width="15.75" bestFit="1" customWidth="1"/>
    <col min="21" max="21" width="6.625" bestFit="1" customWidth="1"/>
    <col min="22" max="22" width="3.375" bestFit="1" customWidth="1"/>
    <col min="23" max="23" width="3.875" bestFit="1" customWidth="1"/>
    <col min="24" max="24" width="3.5" bestFit="1" customWidth="1"/>
    <col min="25" max="26" width="3.75" bestFit="1" customWidth="1"/>
    <col min="27" max="27" width="5.125" bestFit="1" customWidth="1"/>
    <col min="28" max="29" width="9.875" bestFit="1" customWidth="1"/>
  </cols>
  <sheetData>
    <row r="1" spans="1:28" x14ac:dyDescent="0.2">
      <c r="A1" s="54" t="s">
        <v>271</v>
      </c>
      <c r="B1" s="55" t="s">
        <v>874</v>
      </c>
    </row>
    <row r="3" spans="1:28" x14ac:dyDescent="0.2">
      <c r="A3" s="54" t="s">
        <v>875</v>
      </c>
      <c r="B3" s="54" t="s">
        <v>154</v>
      </c>
    </row>
    <row r="4" spans="1:28" x14ac:dyDescent="0.2">
      <c r="A4" s="54" t="s">
        <v>152</v>
      </c>
      <c r="B4" s="57" t="s">
        <v>81</v>
      </c>
      <c r="C4" s="57" t="s">
        <v>1660</v>
      </c>
      <c r="D4" s="56" t="s">
        <v>61</v>
      </c>
      <c r="E4" s="57" t="s">
        <v>747</v>
      </c>
      <c r="F4" s="57" t="s">
        <v>1244</v>
      </c>
      <c r="G4" s="57" t="s">
        <v>352</v>
      </c>
      <c r="H4" s="57" t="s">
        <v>668</v>
      </c>
      <c r="I4" s="57" t="s">
        <v>215</v>
      </c>
      <c r="J4" s="57" t="s">
        <v>1997</v>
      </c>
      <c r="K4" s="57" t="s">
        <v>47</v>
      </c>
      <c r="L4" s="57" t="s">
        <v>145</v>
      </c>
      <c r="M4" s="57" t="s">
        <v>2571</v>
      </c>
      <c r="N4" s="57" t="s">
        <v>1461</v>
      </c>
      <c r="O4" s="58" t="s">
        <v>410</v>
      </c>
      <c r="P4" s="57" t="s">
        <v>1668</v>
      </c>
      <c r="Q4" s="57" t="s">
        <v>1316</v>
      </c>
      <c r="R4" s="57" t="s">
        <v>1680</v>
      </c>
      <c r="S4" s="57" t="s">
        <v>676</v>
      </c>
      <c r="T4" s="57" t="s">
        <v>123</v>
      </c>
      <c r="U4" s="57" t="s">
        <v>1499</v>
      </c>
      <c r="V4" s="57" t="s">
        <v>435</v>
      </c>
      <c r="W4" s="57" t="s">
        <v>838</v>
      </c>
      <c r="X4" s="58" t="s">
        <v>160</v>
      </c>
      <c r="Y4" s="57" t="s">
        <v>2258</v>
      </c>
      <c r="Z4" s="57" t="s">
        <v>896</v>
      </c>
      <c r="AA4" s="57" t="s">
        <v>757</v>
      </c>
      <c r="AB4" t="s">
        <v>153</v>
      </c>
    </row>
    <row r="5" spans="1:28" x14ac:dyDescent="0.2">
      <c r="A5" s="55" t="s">
        <v>276</v>
      </c>
      <c r="B5" s="57">
        <v>4</v>
      </c>
      <c r="C5" s="57"/>
      <c r="D5" s="56">
        <v>2</v>
      </c>
      <c r="E5" s="57"/>
      <c r="F5" s="57"/>
      <c r="G5" s="57"/>
      <c r="H5" s="57"/>
      <c r="I5" s="57"/>
      <c r="J5" s="57"/>
      <c r="K5" s="57"/>
      <c r="L5" s="57">
        <v>2</v>
      </c>
      <c r="M5" s="57"/>
      <c r="N5" s="57"/>
      <c r="O5" s="58"/>
      <c r="P5" s="57"/>
      <c r="Q5" s="57"/>
      <c r="R5" s="57"/>
      <c r="S5" s="57"/>
      <c r="T5" s="57">
        <v>1</v>
      </c>
      <c r="U5" s="57"/>
      <c r="V5" s="57"/>
      <c r="W5" s="57"/>
      <c r="X5" s="58">
        <v>1</v>
      </c>
      <c r="Y5" s="57"/>
      <c r="Z5" s="57"/>
      <c r="AA5" s="57"/>
      <c r="AB5">
        <v>10</v>
      </c>
    </row>
    <row r="6" spans="1:28" x14ac:dyDescent="0.2">
      <c r="A6" s="55" t="s">
        <v>277</v>
      </c>
      <c r="B6" s="57">
        <v>3</v>
      </c>
      <c r="C6" s="57"/>
      <c r="D6" s="56">
        <v>3</v>
      </c>
      <c r="E6" s="57"/>
      <c r="F6" s="57"/>
      <c r="G6" s="57"/>
      <c r="H6" s="57"/>
      <c r="I6" s="57">
        <v>1</v>
      </c>
      <c r="J6" s="57"/>
      <c r="K6" s="57"/>
      <c r="L6" s="57"/>
      <c r="M6" s="57"/>
      <c r="N6" s="57"/>
      <c r="O6" s="58"/>
      <c r="P6" s="57"/>
      <c r="Q6" s="57"/>
      <c r="R6" s="57"/>
      <c r="S6" s="57"/>
      <c r="T6" s="57"/>
      <c r="U6" s="57"/>
      <c r="V6" s="57"/>
      <c r="W6" s="57"/>
      <c r="X6" s="58"/>
      <c r="Y6" s="57"/>
      <c r="Z6" s="57"/>
      <c r="AA6" s="57"/>
      <c r="AB6">
        <v>7</v>
      </c>
    </row>
    <row r="7" spans="1:28" x14ac:dyDescent="0.2">
      <c r="A7" s="55" t="s">
        <v>278</v>
      </c>
      <c r="B7" s="57"/>
      <c r="C7" s="57"/>
      <c r="D7" s="56">
        <v>7</v>
      </c>
      <c r="E7" s="57"/>
      <c r="F7" s="57"/>
      <c r="G7" s="57"/>
      <c r="H7" s="57"/>
      <c r="I7" s="57">
        <v>2</v>
      </c>
      <c r="J7" s="57"/>
      <c r="K7" s="57"/>
      <c r="L7" s="57"/>
      <c r="M7" s="57"/>
      <c r="N7" s="57"/>
      <c r="O7" s="58">
        <v>1</v>
      </c>
      <c r="P7" s="57"/>
      <c r="Q7" s="57"/>
      <c r="R7" s="57"/>
      <c r="S7" s="57"/>
      <c r="T7" s="57"/>
      <c r="U7" s="57"/>
      <c r="V7" s="57">
        <v>1</v>
      </c>
      <c r="W7" s="57"/>
      <c r="X7" s="58"/>
      <c r="Y7" s="57"/>
      <c r="Z7" s="57"/>
      <c r="AA7" s="57"/>
      <c r="AB7">
        <v>11</v>
      </c>
    </row>
    <row r="8" spans="1:28" x14ac:dyDescent="0.2">
      <c r="A8" s="55" t="s">
        <v>279</v>
      </c>
      <c r="B8" s="57">
        <v>8</v>
      </c>
      <c r="C8" s="57"/>
      <c r="D8" s="56">
        <v>11</v>
      </c>
      <c r="E8" s="57"/>
      <c r="F8" s="57"/>
      <c r="G8" s="57"/>
      <c r="H8" s="57">
        <v>1</v>
      </c>
      <c r="I8" s="57">
        <v>1</v>
      </c>
      <c r="J8" s="57"/>
      <c r="K8" s="57"/>
      <c r="L8" s="57">
        <v>2</v>
      </c>
      <c r="M8" s="57">
        <v>1</v>
      </c>
      <c r="N8" s="57"/>
      <c r="O8" s="58"/>
      <c r="P8" s="57"/>
      <c r="Q8" s="57"/>
      <c r="R8" s="57"/>
      <c r="S8" s="57">
        <v>1</v>
      </c>
      <c r="T8" s="57"/>
      <c r="U8" s="57"/>
      <c r="V8" s="57"/>
      <c r="W8" s="57"/>
      <c r="X8" s="58"/>
      <c r="Y8" s="57"/>
      <c r="Z8" s="57"/>
      <c r="AA8" s="57"/>
      <c r="AB8">
        <v>25</v>
      </c>
    </row>
    <row r="9" spans="1:28" x14ac:dyDescent="0.2">
      <c r="A9" s="55" t="s">
        <v>280</v>
      </c>
      <c r="B9" s="57">
        <v>2</v>
      </c>
      <c r="C9" s="57"/>
      <c r="D9" s="56">
        <v>5</v>
      </c>
      <c r="E9" s="57">
        <v>1</v>
      </c>
      <c r="F9" s="57"/>
      <c r="G9" s="57">
        <v>1</v>
      </c>
      <c r="H9" s="57">
        <v>3</v>
      </c>
      <c r="I9" s="57"/>
      <c r="J9" s="57"/>
      <c r="K9" s="57"/>
      <c r="L9" s="57">
        <v>2</v>
      </c>
      <c r="M9" s="57"/>
      <c r="N9" s="57"/>
      <c r="O9" s="58"/>
      <c r="P9" s="57"/>
      <c r="Q9" s="57"/>
      <c r="R9" s="57"/>
      <c r="S9" s="57"/>
      <c r="T9" s="57">
        <v>1</v>
      </c>
      <c r="U9" s="57"/>
      <c r="V9" s="57"/>
      <c r="W9" s="57">
        <v>1</v>
      </c>
      <c r="X9" s="58"/>
      <c r="Y9" s="57"/>
      <c r="Z9" s="57">
        <v>1</v>
      </c>
      <c r="AA9" s="57">
        <v>1</v>
      </c>
      <c r="AB9">
        <v>18</v>
      </c>
    </row>
    <row r="10" spans="1:28" x14ac:dyDescent="0.2">
      <c r="A10" s="55" t="s">
        <v>281</v>
      </c>
      <c r="B10" s="57">
        <v>7</v>
      </c>
      <c r="C10" s="57"/>
      <c r="D10" s="56">
        <v>4</v>
      </c>
      <c r="E10" s="57"/>
      <c r="F10" s="57"/>
      <c r="G10" s="57"/>
      <c r="H10" s="57">
        <v>1</v>
      </c>
      <c r="I10" s="57">
        <v>1</v>
      </c>
      <c r="J10" s="57"/>
      <c r="K10" s="57"/>
      <c r="L10" s="57">
        <v>5</v>
      </c>
      <c r="M10" s="57"/>
      <c r="N10" s="57"/>
      <c r="O10" s="58"/>
      <c r="P10" s="57"/>
      <c r="Q10" s="57"/>
      <c r="R10" s="57"/>
      <c r="S10" s="57"/>
      <c r="T10" s="57"/>
      <c r="U10" s="57"/>
      <c r="V10" s="57"/>
      <c r="W10" s="57"/>
      <c r="X10" s="58"/>
      <c r="Y10" s="57"/>
      <c r="Z10" s="57"/>
      <c r="AA10" s="57"/>
      <c r="AB10">
        <v>18</v>
      </c>
    </row>
    <row r="11" spans="1:28" x14ac:dyDescent="0.2">
      <c r="A11" s="55" t="s">
        <v>282</v>
      </c>
      <c r="B11" s="57">
        <v>4</v>
      </c>
      <c r="C11" s="57"/>
      <c r="D11" s="56"/>
      <c r="E11" s="57"/>
      <c r="F11" s="57">
        <v>1</v>
      </c>
      <c r="G11" s="57"/>
      <c r="H11" s="57">
        <v>1</v>
      </c>
      <c r="I11" s="57">
        <v>1</v>
      </c>
      <c r="J11" s="57"/>
      <c r="K11" s="57">
        <v>1</v>
      </c>
      <c r="L11" s="57">
        <v>10</v>
      </c>
      <c r="M11" s="57"/>
      <c r="N11" s="57"/>
      <c r="O11" s="58">
        <v>1</v>
      </c>
      <c r="P11" s="57"/>
      <c r="Q11" s="57">
        <v>1</v>
      </c>
      <c r="R11" s="57"/>
      <c r="S11" s="57"/>
      <c r="T11" s="57"/>
      <c r="U11" s="57"/>
      <c r="V11" s="57"/>
      <c r="W11" s="57"/>
      <c r="X11" s="58"/>
      <c r="Y11" s="57"/>
      <c r="Z11" s="57"/>
      <c r="AA11" s="57">
        <v>2</v>
      </c>
      <c r="AB11">
        <v>22</v>
      </c>
    </row>
    <row r="12" spans="1:28" x14ac:dyDescent="0.2">
      <c r="A12" s="55" t="s">
        <v>283</v>
      </c>
      <c r="B12" s="57">
        <v>6</v>
      </c>
      <c r="C12" s="57"/>
      <c r="D12" s="56">
        <v>6</v>
      </c>
      <c r="E12" s="57"/>
      <c r="F12" s="57"/>
      <c r="G12" s="57"/>
      <c r="H12" s="57">
        <v>1</v>
      </c>
      <c r="I12" s="57"/>
      <c r="J12" s="57"/>
      <c r="K12" s="57"/>
      <c r="L12" s="57">
        <v>8</v>
      </c>
      <c r="M12" s="57"/>
      <c r="N12" s="57">
        <v>1</v>
      </c>
      <c r="O12" s="58">
        <v>1</v>
      </c>
      <c r="P12" s="57"/>
      <c r="Q12" s="57">
        <v>2</v>
      </c>
      <c r="R12" s="57"/>
      <c r="S12" s="57">
        <v>2</v>
      </c>
      <c r="T12" s="57"/>
      <c r="U12" s="57">
        <v>3</v>
      </c>
      <c r="V12" s="57"/>
      <c r="W12" s="57">
        <v>2</v>
      </c>
      <c r="X12" s="58"/>
      <c r="Y12" s="57">
        <v>1</v>
      </c>
      <c r="Z12" s="57"/>
      <c r="AA12" s="57">
        <v>3</v>
      </c>
      <c r="AB12">
        <v>36</v>
      </c>
    </row>
    <row r="13" spans="1:28" x14ac:dyDescent="0.2">
      <c r="A13" s="55" t="s">
        <v>284</v>
      </c>
      <c r="B13" s="57">
        <v>2</v>
      </c>
      <c r="C13" s="57">
        <v>1</v>
      </c>
      <c r="D13" s="56">
        <v>14</v>
      </c>
      <c r="E13" s="57"/>
      <c r="F13" s="57"/>
      <c r="G13" s="57"/>
      <c r="H13" s="57">
        <v>3</v>
      </c>
      <c r="I13" s="57">
        <v>1</v>
      </c>
      <c r="J13" s="57">
        <v>1</v>
      </c>
      <c r="K13" s="57"/>
      <c r="L13" s="57">
        <v>12</v>
      </c>
      <c r="M13" s="57"/>
      <c r="N13" s="57"/>
      <c r="O13" s="58">
        <v>4</v>
      </c>
      <c r="P13" s="57">
        <v>1</v>
      </c>
      <c r="Q13" s="57">
        <v>1</v>
      </c>
      <c r="R13" s="57">
        <v>1</v>
      </c>
      <c r="S13" s="57"/>
      <c r="T13" s="57"/>
      <c r="U13" s="57"/>
      <c r="V13" s="57"/>
      <c r="W13" s="57">
        <v>2</v>
      </c>
      <c r="X13" s="58"/>
      <c r="Y13" s="57"/>
      <c r="Z13" s="57"/>
      <c r="AA13" s="57">
        <v>5</v>
      </c>
      <c r="AB13">
        <v>48</v>
      </c>
    </row>
    <row r="14" spans="1:28" x14ac:dyDescent="0.2">
      <c r="A14" s="55" t="s">
        <v>285</v>
      </c>
      <c r="B14" s="57">
        <v>2</v>
      </c>
      <c r="C14" s="57">
        <v>1</v>
      </c>
      <c r="D14" s="56">
        <v>15</v>
      </c>
      <c r="E14" s="57"/>
      <c r="F14" s="57">
        <v>1</v>
      </c>
      <c r="G14" s="57"/>
      <c r="H14" s="57">
        <v>2</v>
      </c>
      <c r="I14" s="57"/>
      <c r="J14" s="57">
        <v>2</v>
      </c>
      <c r="K14" s="57"/>
      <c r="L14" s="57">
        <v>7</v>
      </c>
      <c r="M14" s="57"/>
      <c r="N14" s="57"/>
      <c r="O14" s="58"/>
      <c r="P14" s="57"/>
      <c r="Q14" s="57"/>
      <c r="R14" s="57"/>
      <c r="S14" s="57"/>
      <c r="T14" s="57"/>
      <c r="U14" s="57"/>
      <c r="V14" s="57"/>
      <c r="W14" s="57"/>
      <c r="X14" s="58"/>
      <c r="Y14" s="57">
        <v>1</v>
      </c>
      <c r="Z14" s="57"/>
      <c r="AA14" s="57">
        <v>7</v>
      </c>
      <c r="AB14">
        <v>38</v>
      </c>
    </row>
    <row r="15" spans="1:28" x14ac:dyDescent="0.2">
      <c r="A15" s="55" t="s">
        <v>286</v>
      </c>
      <c r="B15" s="57">
        <v>7</v>
      </c>
      <c r="C15" s="57"/>
      <c r="D15" s="56">
        <v>11</v>
      </c>
      <c r="E15" s="57"/>
      <c r="F15" s="57"/>
      <c r="G15" s="57"/>
      <c r="H15" s="57">
        <v>1</v>
      </c>
      <c r="I15" s="57">
        <v>1</v>
      </c>
      <c r="J15" s="57"/>
      <c r="K15" s="57"/>
      <c r="L15" s="57">
        <v>2</v>
      </c>
      <c r="M15" s="57"/>
      <c r="N15" s="57"/>
      <c r="O15" s="58"/>
      <c r="P15" s="57"/>
      <c r="Q15" s="57"/>
      <c r="R15" s="57"/>
      <c r="S15" s="57"/>
      <c r="T15" s="57"/>
      <c r="U15" s="57"/>
      <c r="V15" s="57"/>
      <c r="W15" s="57"/>
      <c r="X15" s="58"/>
      <c r="Y15" s="57"/>
      <c r="Z15" s="57"/>
      <c r="AA15" s="57">
        <v>4</v>
      </c>
      <c r="AB15">
        <v>26</v>
      </c>
    </row>
    <row r="16" spans="1:28" x14ac:dyDescent="0.2">
      <c r="A16" s="55" t="s">
        <v>287</v>
      </c>
      <c r="B16" s="57">
        <v>8</v>
      </c>
      <c r="C16" s="57"/>
      <c r="D16" s="56">
        <v>15</v>
      </c>
      <c r="E16" s="57"/>
      <c r="F16" s="57"/>
      <c r="G16" s="57"/>
      <c r="H16" s="57">
        <v>1</v>
      </c>
      <c r="I16" s="57">
        <v>1</v>
      </c>
      <c r="J16" s="57"/>
      <c r="K16" s="57">
        <v>2</v>
      </c>
      <c r="L16" s="57">
        <v>6</v>
      </c>
      <c r="M16" s="57">
        <v>1</v>
      </c>
      <c r="N16" s="57"/>
      <c r="O16" s="58"/>
      <c r="P16" s="57"/>
      <c r="Q16" s="57"/>
      <c r="R16" s="57"/>
      <c r="S16" s="57"/>
      <c r="T16" s="57"/>
      <c r="U16" s="57"/>
      <c r="V16" s="57"/>
      <c r="W16" s="57"/>
      <c r="X16" s="58"/>
      <c r="Y16" s="57"/>
      <c r="Z16" s="57"/>
      <c r="AA16" s="57"/>
      <c r="AB16">
        <v>34</v>
      </c>
    </row>
    <row r="17" spans="1:28" x14ac:dyDescent="0.2">
      <c r="A17" s="55" t="s">
        <v>153</v>
      </c>
      <c r="B17" s="57">
        <v>53</v>
      </c>
      <c r="C17" s="57">
        <v>2</v>
      </c>
      <c r="D17" s="56">
        <v>93</v>
      </c>
      <c r="E17" s="57">
        <v>1</v>
      </c>
      <c r="F17" s="57">
        <v>2</v>
      </c>
      <c r="G17" s="57">
        <v>1</v>
      </c>
      <c r="H17" s="57">
        <v>14</v>
      </c>
      <c r="I17" s="57">
        <v>9</v>
      </c>
      <c r="J17" s="57">
        <v>3</v>
      </c>
      <c r="K17" s="57">
        <v>3</v>
      </c>
      <c r="L17" s="57">
        <v>56</v>
      </c>
      <c r="M17" s="57">
        <v>2</v>
      </c>
      <c r="N17" s="57">
        <v>1</v>
      </c>
      <c r="O17" s="58">
        <v>7</v>
      </c>
      <c r="P17" s="57">
        <v>1</v>
      </c>
      <c r="Q17" s="57">
        <v>4</v>
      </c>
      <c r="R17" s="57">
        <v>1</v>
      </c>
      <c r="S17" s="57">
        <v>3</v>
      </c>
      <c r="T17" s="57">
        <v>2</v>
      </c>
      <c r="U17" s="57">
        <v>3</v>
      </c>
      <c r="V17" s="57">
        <v>1</v>
      </c>
      <c r="W17" s="57">
        <v>5</v>
      </c>
      <c r="X17" s="58">
        <v>1</v>
      </c>
      <c r="Y17" s="57">
        <v>2</v>
      </c>
      <c r="Z17" s="57">
        <v>1</v>
      </c>
      <c r="AA17" s="57">
        <v>22</v>
      </c>
      <c r="AB17">
        <v>293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63"/>
  <sheetViews>
    <sheetView tabSelected="1" topLeftCell="E74" zoomScaleNormal="100" workbookViewId="0">
      <selection activeCell="K327" sqref="K327"/>
    </sheetView>
  </sheetViews>
  <sheetFormatPr defaultRowHeight="18" x14ac:dyDescent="0.25"/>
  <cols>
    <col min="1" max="1" width="12" style="1" bestFit="1" customWidth="1"/>
    <col min="2" max="2" width="19.75" style="1" bestFit="1" customWidth="1"/>
    <col min="3" max="3" width="33.875" style="1" bestFit="1" customWidth="1"/>
    <col min="4" max="4" width="18.125" style="1" bestFit="1" customWidth="1"/>
    <col min="5" max="5" width="19" style="1" bestFit="1" customWidth="1"/>
    <col min="6" max="6" width="16.875" style="1" bestFit="1" customWidth="1"/>
    <col min="7" max="7" width="23.25" style="1" bestFit="1" customWidth="1"/>
    <col min="8" max="8" width="31.25" style="1" bestFit="1" customWidth="1"/>
    <col min="9" max="9" width="12.375" style="1" bestFit="1" customWidth="1"/>
    <col min="10" max="10" width="16.625" style="1" customWidth="1"/>
    <col min="11" max="11" width="18.875" style="1" bestFit="1" customWidth="1"/>
    <col min="12" max="12" width="27.875" style="1" bestFit="1" customWidth="1"/>
    <col min="13" max="13" width="38.5" style="1" bestFit="1" customWidth="1"/>
    <col min="14" max="14" width="44.5" style="1" bestFit="1" customWidth="1"/>
    <col min="15" max="15" width="39.5" style="1" bestFit="1" customWidth="1"/>
    <col min="16" max="16" width="42.875" style="1" bestFit="1" customWidth="1"/>
    <col min="17" max="17" width="47.5" style="1" bestFit="1" customWidth="1"/>
    <col min="18" max="18" width="20.625" style="1" bestFit="1" customWidth="1"/>
    <col min="19" max="19" width="7.625" style="1" bestFit="1" customWidth="1"/>
    <col min="20" max="20" width="11.75" style="1" bestFit="1" customWidth="1"/>
    <col min="21" max="21" width="19" style="1" bestFit="1" customWidth="1"/>
    <col min="22" max="22" width="22.125" style="1" bestFit="1" customWidth="1"/>
    <col min="23" max="23" width="13.625" style="1" bestFit="1" customWidth="1"/>
    <col min="24" max="24" width="25" style="1" bestFit="1" customWidth="1"/>
    <col min="25" max="25" width="26.375" style="1" bestFit="1" customWidth="1"/>
    <col min="26" max="26" width="21.625" style="1" bestFit="1" customWidth="1"/>
    <col min="27" max="27" width="16.375" style="1" bestFit="1" customWidth="1"/>
    <col min="28" max="28" width="22.375" style="1" bestFit="1" customWidth="1"/>
    <col min="29" max="29" width="21.625" style="1" bestFit="1" customWidth="1"/>
    <col min="30" max="30" width="49.875" style="1" bestFit="1" customWidth="1"/>
    <col min="31" max="31" width="25.875" style="1" bestFit="1" customWidth="1"/>
    <col min="32" max="32" width="25.5" style="1" bestFit="1" customWidth="1"/>
    <col min="33" max="16384" width="9" style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271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 x14ac:dyDescent="0.25">
      <c r="A2" s="1" t="s">
        <v>65</v>
      </c>
      <c r="B2" s="1" t="s">
        <v>93</v>
      </c>
      <c r="C2" s="1" t="s">
        <v>94</v>
      </c>
      <c r="D2" s="1" t="s">
        <v>95</v>
      </c>
      <c r="E2" s="24">
        <v>45658</v>
      </c>
      <c r="F2" s="2" t="s">
        <v>102</v>
      </c>
      <c r="G2" s="1" t="s">
        <v>35</v>
      </c>
      <c r="H2" s="1" t="s">
        <v>36</v>
      </c>
      <c r="I2" s="1" t="s">
        <v>37</v>
      </c>
      <c r="J2" s="1" t="s">
        <v>38</v>
      </c>
      <c r="K2" s="1" t="s">
        <v>55</v>
      </c>
      <c r="L2" s="1" t="s">
        <v>40</v>
      </c>
      <c r="M2" s="1" t="s">
        <v>56</v>
      </c>
      <c r="N2" s="1" t="s">
        <v>42</v>
      </c>
      <c r="O2" s="1" t="s">
        <v>43</v>
      </c>
      <c r="P2" s="1" t="s">
        <v>96</v>
      </c>
      <c r="Q2" s="1" t="s">
        <v>42</v>
      </c>
      <c r="R2" s="1" t="s">
        <v>97</v>
      </c>
      <c r="S2" s="1" t="s">
        <v>98</v>
      </c>
      <c r="T2" s="1" t="s">
        <v>60</v>
      </c>
      <c r="U2" s="1" t="s">
        <v>145</v>
      </c>
      <c r="V2" s="1" t="s">
        <v>99</v>
      </c>
      <c r="W2" s="1" t="s">
        <v>35</v>
      </c>
      <c r="X2" s="1" t="s">
        <v>35</v>
      </c>
      <c r="Y2" s="1" t="s">
        <v>49</v>
      </c>
      <c r="Z2" s="1" t="s">
        <v>35</v>
      </c>
      <c r="AA2" s="1" t="s">
        <v>35</v>
      </c>
      <c r="AB2" s="1" t="s">
        <v>35</v>
      </c>
      <c r="AC2" s="1" t="s">
        <v>35</v>
      </c>
      <c r="AD2" s="1" t="s">
        <v>35</v>
      </c>
      <c r="AE2" s="1" t="s">
        <v>100</v>
      </c>
      <c r="AF2" s="1" t="s">
        <v>101</v>
      </c>
    </row>
    <row r="3" spans="1:32" x14ac:dyDescent="0.25">
      <c r="A3" s="1" t="s">
        <v>31</v>
      </c>
      <c r="B3" s="1" t="s">
        <v>85</v>
      </c>
      <c r="C3" s="1" t="s">
        <v>190</v>
      </c>
      <c r="D3" s="1" t="s">
        <v>86</v>
      </c>
      <c r="E3" s="24">
        <v>45658</v>
      </c>
      <c r="F3" s="2" t="s">
        <v>103</v>
      </c>
      <c r="G3" s="1" t="s">
        <v>35</v>
      </c>
      <c r="H3" s="1" t="s">
        <v>36</v>
      </c>
      <c r="I3" s="1" t="s">
        <v>37</v>
      </c>
      <c r="J3" s="1" t="s">
        <v>38</v>
      </c>
      <c r="K3" s="1" t="s">
        <v>55</v>
      </c>
      <c r="L3" s="1" t="s">
        <v>40</v>
      </c>
      <c r="M3" s="1" t="s">
        <v>56</v>
      </c>
      <c r="N3" s="1" t="s">
        <v>42</v>
      </c>
      <c r="O3" s="1" t="s">
        <v>43</v>
      </c>
      <c r="P3" s="1" t="s">
        <v>87</v>
      </c>
      <c r="Q3" s="1" t="s">
        <v>42</v>
      </c>
      <c r="R3" s="1" t="s">
        <v>88</v>
      </c>
      <c r="S3" s="1" t="s">
        <v>80</v>
      </c>
      <c r="T3" s="1" t="s">
        <v>46</v>
      </c>
      <c r="U3" s="1" t="s">
        <v>81</v>
      </c>
      <c r="V3" s="1" t="s">
        <v>90</v>
      </c>
      <c r="W3" s="1" t="s">
        <v>35</v>
      </c>
      <c r="X3" s="1" t="s">
        <v>35</v>
      </c>
      <c r="Y3" s="1" t="s">
        <v>49</v>
      </c>
      <c r="Z3" s="1" t="s">
        <v>35</v>
      </c>
      <c r="AA3" s="1" t="s">
        <v>35</v>
      </c>
      <c r="AB3" s="1" t="s">
        <v>35</v>
      </c>
      <c r="AC3" s="1" t="s">
        <v>35</v>
      </c>
      <c r="AD3" s="1" t="s">
        <v>35</v>
      </c>
      <c r="AE3" s="1" t="s">
        <v>91</v>
      </c>
      <c r="AF3" s="1" t="s">
        <v>92</v>
      </c>
    </row>
    <row r="4" spans="1:32" x14ac:dyDescent="0.25">
      <c r="A4" s="1" t="s">
        <v>50</v>
      </c>
      <c r="B4" s="1" t="s">
        <v>76</v>
      </c>
      <c r="C4" s="1" t="s">
        <v>77</v>
      </c>
      <c r="D4" s="1" t="s">
        <v>78</v>
      </c>
      <c r="E4" s="24">
        <v>45658</v>
      </c>
      <c r="F4" s="2" t="s">
        <v>103</v>
      </c>
      <c r="G4" s="1" t="s">
        <v>35</v>
      </c>
      <c r="H4" s="1" t="s">
        <v>36</v>
      </c>
      <c r="I4" s="1" t="s">
        <v>37</v>
      </c>
      <c r="J4" s="1" t="s">
        <v>38</v>
      </c>
      <c r="K4" s="1" t="s">
        <v>55</v>
      </c>
      <c r="L4" s="1" t="s">
        <v>40</v>
      </c>
      <c r="M4" s="1" t="s">
        <v>56</v>
      </c>
      <c r="N4" s="1" t="s">
        <v>42</v>
      </c>
      <c r="O4" s="1" t="s">
        <v>43</v>
      </c>
      <c r="P4" s="1" t="s">
        <v>57</v>
      </c>
      <c r="Q4" s="1" t="s">
        <v>42</v>
      </c>
      <c r="R4" s="1" t="s">
        <v>79</v>
      </c>
      <c r="S4" s="1" t="s">
        <v>80</v>
      </c>
      <c r="T4" s="1" t="s">
        <v>46</v>
      </c>
      <c r="U4" s="1" t="s">
        <v>81</v>
      </c>
      <c r="V4" s="1" t="s">
        <v>82</v>
      </c>
      <c r="W4" s="1" t="s">
        <v>35</v>
      </c>
      <c r="X4" s="1" t="s">
        <v>35</v>
      </c>
      <c r="Y4" s="1" t="s">
        <v>49</v>
      </c>
      <c r="Z4" s="1" t="s">
        <v>35</v>
      </c>
      <c r="AA4" s="1" t="s">
        <v>35</v>
      </c>
      <c r="AB4" s="1" t="s">
        <v>35</v>
      </c>
      <c r="AC4" s="1" t="s">
        <v>35</v>
      </c>
      <c r="AD4" s="1" t="s">
        <v>35</v>
      </c>
      <c r="AE4" s="1" t="s">
        <v>83</v>
      </c>
      <c r="AF4" s="1" t="s">
        <v>84</v>
      </c>
    </row>
    <row r="5" spans="1:32" x14ac:dyDescent="0.25">
      <c r="A5" s="1" t="s">
        <v>65</v>
      </c>
      <c r="B5" s="1" t="s">
        <v>66</v>
      </c>
      <c r="C5" s="1" t="s">
        <v>67</v>
      </c>
      <c r="D5" s="1" t="s">
        <v>68</v>
      </c>
      <c r="E5" s="24">
        <v>45668</v>
      </c>
      <c r="F5" s="2" t="s">
        <v>102</v>
      </c>
      <c r="G5" s="1" t="s">
        <v>35</v>
      </c>
      <c r="H5" s="1" t="s">
        <v>36</v>
      </c>
      <c r="I5" s="1" t="s">
        <v>37</v>
      </c>
      <c r="J5" s="1" t="s">
        <v>38</v>
      </c>
      <c r="K5" s="1" t="s">
        <v>55</v>
      </c>
      <c r="L5" s="1" t="s">
        <v>40</v>
      </c>
      <c r="M5" s="1" t="s">
        <v>70</v>
      </c>
      <c r="N5" s="1" t="s">
        <v>42</v>
      </c>
      <c r="O5" s="1" t="s">
        <v>43</v>
      </c>
      <c r="P5" s="1" t="s">
        <v>70</v>
      </c>
      <c r="Q5" s="1" t="s">
        <v>42</v>
      </c>
      <c r="R5" s="1" t="s">
        <v>71</v>
      </c>
      <c r="S5" s="1" t="s">
        <v>72</v>
      </c>
      <c r="T5" s="1" t="s">
        <v>60</v>
      </c>
      <c r="U5" s="1" t="s">
        <v>61</v>
      </c>
      <c r="V5" s="1" t="s">
        <v>73</v>
      </c>
      <c r="W5" s="1" t="s">
        <v>35</v>
      </c>
      <c r="X5" s="1" t="s">
        <v>35</v>
      </c>
      <c r="Y5" s="1" t="s">
        <v>104</v>
      </c>
      <c r="Z5" s="1" t="s">
        <v>35</v>
      </c>
      <c r="AA5" s="1" t="s">
        <v>35</v>
      </c>
      <c r="AB5" s="1" t="s">
        <v>35</v>
      </c>
      <c r="AC5" s="1" t="s">
        <v>35</v>
      </c>
      <c r="AD5" s="1" t="s">
        <v>35</v>
      </c>
      <c r="AE5" s="1" t="s">
        <v>74</v>
      </c>
      <c r="AF5" s="1" t="s">
        <v>75</v>
      </c>
    </row>
    <row r="6" spans="1:32" x14ac:dyDescent="0.25">
      <c r="A6" s="1" t="s">
        <v>50</v>
      </c>
      <c r="B6" s="1" t="s">
        <v>51</v>
      </c>
      <c r="C6" s="1" t="s">
        <v>52</v>
      </c>
      <c r="D6" s="1" t="s">
        <v>53</v>
      </c>
      <c r="E6" s="24">
        <v>45669</v>
      </c>
      <c r="F6" s="2" t="s">
        <v>103</v>
      </c>
      <c r="G6" s="1" t="s">
        <v>54</v>
      </c>
      <c r="H6" s="1" t="s">
        <v>36</v>
      </c>
      <c r="I6" s="1" t="s">
        <v>37</v>
      </c>
      <c r="J6" s="1" t="s">
        <v>38</v>
      </c>
      <c r="K6" s="1" t="s">
        <v>55</v>
      </c>
      <c r="L6" s="1" t="s">
        <v>40</v>
      </c>
      <c r="M6" s="1" t="s">
        <v>56</v>
      </c>
      <c r="N6" s="1" t="s">
        <v>42</v>
      </c>
      <c r="O6" s="1" t="s">
        <v>43</v>
      </c>
      <c r="P6" s="1" t="s">
        <v>57</v>
      </c>
      <c r="Q6" s="1" t="s">
        <v>42</v>
      </c>
      <c r="R6" s="1" t="s">
        <v>58</v>
      </c>
      <c r="S6" s="1" t="s">
        <v>322</v>
      </c>
      <c r="T6" s="1" t="s">
        <v>60</v>
      </c>
      <c r="U6" s="1" t="s">
        <v>61</v>
      </c>
      <c r="V6" s="1" t="s">
        <v>62</v>
      </c>
      <c r="W6" s="1" t="s">
        <v>35</v>
      </c>
      <c r="X6" s="1" t="s">
        <v>35</v>
      </c>
      <c r="Y6" s="1" t="s">
        <v>49</v>
      </c>
      <c r="Z6" s="1" t="s">
        <v>35</v>
      </c>
      <c r="AA6" s="1" t="s">
        <v>35</v>
      </c>
      <c r="AB6" s="1" t="s">
        <v>35</v>
      </c>
      <c r="AC6" s="1" t="s">
        <v>35</v>
      </c>
      <c r="AD6" s="1" t="s">
        <v>35</v>
      </c>
      <c r="AE6" s="1" t="s">
        <v>63</v>
      </c>
      <c r="AF6" s="1" t="s">
        <v>64</v>
      </c>
    </row>
    <row r="7" spans="1:32" x14ac:dyDescent="0.25">
      <c r="A7" s="1" t="s">
        <v>31</v>
      </c>
      <c r="B7" s="1" t="s">
        <v>32</v>
      </c>
      <c r="C7" s="1" t="s">
        <v>33</v>
      </c>
      <c r="D7" s="1" t="s">
        <v>34</v>
      </c>
      <c r="E7" s="24">
        <v>45669</v>
      </c>
      <c r="F7" s="2" t="s">
        <v>39</v>
      </c>
      <c r="G7" s="1" t="s">
        <v>35</v>
      </c>
      <c r="H7" s="1" t="s">
        <v>36</v>
      </c>
      <c r="I7" s="1" t="s">
        <v>37</v>
      </c>
      <c r="J7" s="1" t="s">
        <v>38</v>
      </c>
      <c r="K7" s="1" t="s">
        <v>39</v>
      </c>
      <c r="L7" s="1" t="s">
        <v>40</v>
      </c>
      <c r="M7" s="1" t="s">
        <v>41</v>
      </c>
      <c r="N7" s="1" t="s">
        <v>42</v>
      </c>
      <c r="O7" s="1" t="s">
        <v>43</v>
      </c>
      <c r="P7" s="1" t="s">
        <v>41</v>
      </c>
      <c r="Q7" s="1" t="s">
        <v>42</v>
      </c>
      <c r="R7" s="1" t="s">
        <v>44</v>
      </c>
      <c r="S7" s="1" t="s">
        <v>45</v>
      </c>
      <c r="T7" s="1" t="s">
        <v>46</v>
      </c>
      <c r="U7" s="1" t="s">
        <v>47</v>
      </c>
      <c r="V7" s="1" t="s">
        <v>48</v>
      </c>
      <c r="W7" s="1" t="s">
        <v>35</v>
      </c>
      <c r="X7" s="1" t="s">
        <v>35</v>
      </c>
      <c r="Y7" s="1" t="s">
        <v>104</v>
      </c>
      <c r="Z7" s="1" t="s">
        <v>35</v>
      </c>
      <c r="AA7" s="1" t="s">
        <v>35</v>
      </c>
      <c r="AB7" s="1" t="s">
        <v>35</v>
      </c>
      <c r="AC7" s="1" t="s">
        <v>35</v>
      </c>
      <c r="AD7" s="1" t="s">
        <v>35</v>
      </c>
      <c r="AE7" s="1" t="s">
        <v>35</v>
      </c>
      <c r="AF7" s="1" t="s">
        <v>35</v>
      </c>
    </row>
    <row r="8" spans="1:32" x14ac:dyDescent="0.25">
      <c r="A8" s="1" t="s">
        <v>105</v>
      </c>
      <c r="B8" s="1" t="s">
        <v>106</v>
      </c>
      <c r="C8" s="1" t="s">
        <v>107</v>
      </c>
      <c r="D8" s="1" t="s">
        <v>108</v>
      </c>
      <c r="E8" s="24">
        <v>45670</v>
      </c>
      <c r="F8" s="2" t="s">
        <v>151</v>
      </c>
      <c r="G8" s="1" t="s">
        <v>35</v>
      </c>
      <c r="H8" s="1" t="s">
        <v>36</v>
      </c>
      <c r="I8" s="1" t="s">
        <v>37</v>
      </c>
      <c r="J8" s="1" t="s">
        <v>38</v>
      </c>
      <c r="K8" s="1" t="s">
        <v>55</v>
      </c>
      <c r="L8" s="1" t="s">
        <v>40</v>
      </c>
      <c r="M8" s="1" t="s">
        <v>109</v>
      </c>
      <c r="N8" s="1" t="s">
        <v>42</v>
      </c>
      <c r="O8" s="1" t="s">
        <v>43</v>
      </c>
      <c r="P8" s="1" t="s">
        <v>109</v>
      </c>
      <c r="Q8" s="1" t="s">
        <v>42</v>
      </c>
      <c r="R8" s="1" t="s">
        <v>110</v>
      </c>
      <c r="S8" s="1" t="s">
        <v>111</v>
      </c>
      <c r="T8" s="1" t="s">
        <v>60</v>
      </c>
      <c r="U8" s="1" t="s">
        <v>112</v>
      </c>
      <c r="V8" s="1" t="s">
        <v>113</v>
      </c>
      <c r="W8" s="1" t="s">
        <v>35</v>
      </c>
      <c r="X8" s="1" t="s">
        <v>35</v>
      </c>
      <c r="Y8" s="1" t="s">
        <v>104</v>
      </c>
      <c r="Z8" s="1" t="s">
        <v>35</v>
      </c>
      <c r="AA8" s="1" t="s">
        <v>35</v>
      </c>
      <c r="AB8" s="1" t="s">
        <v>35</v>
      </c>
      <c r="AC8" s="1" t="s">
        <v>35</v>
      </c>
      <c r="AD8" s="1" t="s">
        <v>35</v>
      </c>
      <c r="AE8" s="1" t="s">
        <v>114</v>
      </c>
      <c r="AF8" s="1" t="s">
        <v>115</v>
      </c>
    </row>
    <row r="9" spans="1:32" x14ac:dyDescent="0.25">
      <c r="A9" s="1" t="s">
        <v>105</v>
      </c>
      <c r="B9" s="1" t="s">
        <v>131</v>
      </c>
      <c r="C9" s="1" t="s">
        <v>132</v>
      </c>
      <c r="D9" s="1" t="s">
        <v>133</v>
      </c>
      <c r="E9" s="24">
        <v>45671</v>
      </c>
      <c r="F9" s="2" t="s">
        <v>151</v>
      </c>
      <c r="G9" s="1" t="s">
        <v>54</v>
      </c>
      <c r="H9" s="1" t="s">
        <v>36</v>
      </c>
      <c r="I9" s="1" t="s">
        <v>37</v>
      </c>
      <c r="J9" s="1" t="s">
        <v>38</v>
      </c>
      <c r="K9" s="1" t="s">
        <v>39</v>
      </c>
      <c r="L9" s="1" t="s">
        <v>40</v>
      </c>
      <c r="M9" s="1" t="s">
        <v>56</v>
      </c>
      <c r="N9" s="1" t="s">
        <v>42</v>
      </c>
      <c r="O9" s="1" t="s">
        <v>43</v>
      </c>
      <c r="P9" s="1" t="s">
        <v>87</v>
      </c>
      <c r="Q9" s="1" t="s">
        <v>42</v>
      </c>
      <c r="R9" s="1" t="s">
        <v>134</v>
      </c>
      <c r="S9" s="1" t="s">
        <v>135</v>
      </c>
      <c r="T9" s="1" t="s">
        <v>60</v>
      </c>
      <c r="U9" s="1" t="s">
        <v>112</v>
      </c>
      <c r="V9" s="1" t="s">
        <v>136</v>
      </c>
      <c r="W9" s="1" t="s">
        <v>35</v>
      </c>
      <c r="X9" s="1" t="s">
        <v>35</v>
      </c>
      <c r="Y9" s="1" t="s">
        <v>49</v>
      </c>
      <c r="Z9" s="1" t="s">
        <v>35</v>
      </c>
      <c r="AA9" s="1" t="s">
        <v>35</v>
      </c>
      <c r="AB9" s="1" t="s">
        <v>35</v>
      </c>
      <c r="AC9" s="1" t="s">
        <v>35</v>
      </c>
      <c r="AD9" s="1" t="s">
        <v>35</v>
      </c>
      <c r="AE9" s="1" t="s">
        <v>137</v>
      </c>
      <c r="AF9" s="1" t="s">
        <v>138</v>
      </c>
    </row>
    <row r="10" spans="1:32" x14ac:dyDescent="0.25">
      <c r="A10" s="1" t="s">
        <v>50</v>
      </c>
      <c r="B10" s="1" t="s">
        <v>116</v>
      </c>
      <c r="C10" s="1" t="s">
        <v>117</v>
      </c>
      <c r="D10" s="1" t="s">
        <v>118</v>
      </c>
      <c r="E10" s="24">
        <v>45671</v>
      </c>
      <c r="F10" s="2" t="s">
        <v>102</v>
      </c>
      <c r="G10" s="1" t="s">
        <v>54</v>
      </c>
      <c r="H10" s="1" t="s">
        <v>36</v>
      </c>
      <c r="I10" s="1" t="s">
        <v>37</v>
      </c>
      <c r="J10" s="1" t="s">
        <v>38</v>
      </c>
      <c r="K10" s="1" t="s">
        <v>55</v>
      </c>
      <c r="L10" s="1" t="s">
        <v>40</v>
      </c>
      <c r="M10" s="1" t="s">
        <v>119</v>
      </c>
      <c r="N10" s="1" t="s">
        <v>42</v>
      </c>
      <c r="O10" s="1" t="s">
        <v>43</v>
      </c>
      <c r="P10" s="1" t="s">
        <v>120</v>
      </c>
      <c r="Q10" s="1" t="s">
        <v>42</v>
      </c>
      <c r="R10" s="1" t="s">
        <v>121</v>
      </c>
      <c r="S10" s="1" t="s">
        <v>122</v>
      </c>
      <c r="T10" s="1" t="s">
        <v>46</v>
      </c>
      <c r="U10" s="1" t="s">
        <v>123</v>
      </c>
      <c r="V10" s="1" t="s">
        <v>124</v>
      </c>
      <c r="W10" s="1" t="s">
        <v>125</v>
      </c>
      <c r="X10" s="1" t="s">
        <v>126</v>
      </c>
      <c r="Y10" s="1" t="s">
        <v>104</v>
      </c>
      <c r="Z10" s="1" t="s">
        <v>35</v>
      </c>
      <c r="AA10" s="1" t="s">
        <v>35</v>
      </c>
      <c r="AB10" s="1" t="s">
        <v>35</v>
      </c>
      <c r="AC10" s="1" t="s">
        <v>127</v>
      </c>
      <c r="AD10" s="1" t="s">
        <v>128</v>
      </c>
      <c r="AE10" s="1" t="s">
        <v>129</v>
      </c>
      <c r="AF10" s="1" t="s">
        <v>130</v>
      </c>
    </row>
    <row r="11" spans="1:32" x14ac:dyDescent="0.25">
      <c r="A11" s="1" t="s">
        <v>65</v>
      </c>
      <c r="B11" s="1" t="s">
        <v>139</v>
      </c>
      <c r="C11" s="1" t="s">
        <v>140</v>
      </c>
      <c r="D11" s="1" t="s">
        <v>141</v>
      </c>
      <c r="E11" s="24">
        <v>45673</v>
      </c>
      <c r="F11" s="2" t="s">
        <v>103</v>
      </c>
      <c r="G11" s="1" t="s">
        <v>54</v>
      </c>
      <c r="H11" s="1" t="s">
        <v>36</v>
      </c>
      <c r="I11" s="1" t="s">
        <v>37</v>
      </c>
      <c r="J11" s="1" t="s">
        <v>38</v>
      </c>
      <c r="K11" s="1" t="s">
        <v>55</v>
      </c>
      <c r="L11" s="1" t="s">
        <v>40</v>
      </c>
      <c r="M11" s="1" t="s">
        <v>56</v>
      </c>
      <c r="N11" s="1" t="s">
        <v>42</v>
      </c>
      <c r="O11" s="1" t="s">
        <v>43</v>
      </c>
      <c r="P11" s="1" t="s">
        <v>142</v>
      </c>
      <c r="Q11" s="1" t="s">
        <v>42</v>
      </c>
      <c r="R11" s="1" t="s">
        <v>143</v>
      </c>
      <c r="S11" s="1" t="s">
        <v>144</v>
      </c>
      <c r="T11" s="1" t="s">
        <v>60</v>
      </c>
      <c r="U11" s="1" t="s">
        <v>145</v>
      </c>
      <c r="V11" s="1" t="s">
        <v>146</v>
      </c>
      <c r="W11" s="1" t="s">
        <v>35</v>
      </c>
      <c r="X11" s="1" t="s">
        <v>35</v>
      </c>
      <c r="Y11" s="1" t="s">
        <v>104</v>
      </c>
      <c r="Z11" s="1" t="s">
        <v>35</v>
      </c>
      <c r="AA11" s="1" t="s">
        <v>35</v>
      </c>
      <c r="AB11" s="1" t="s">
        <v>35</v>
      </c>
      <c r="AC11" s="1" t="s">
        <v>147</v>
      </c>
      <c r="AD11" s="1" t="s">
        <v>148</v>
      </c>
      <c r="AE11" s="1" t="s">
        <v>149</v>
      </c>
      <c r="AF11" s="1" t="s">
        <v>150</v>
      </c>
    </row>
    <row r="12" spans="1:32" x14ac:dyDescent="0.25">
      <c r="A12" s="1" t="s">
        <v>65</v>
      </c>
      <c r="B12" s="1" t="s">
        <v>155</v>
      </c>
      <c r="C12" s="1" t="s">
        <v>156</v>
      </c>
      <c r="D12" s="1" t="s">
        <v>157</v>
      </c>
      <c r="E12" s="24">
        <v>45677</v>
      </c>
      <c r="F12" s="2" t="s">
        <v>102</v>
      </c>
      <c r="G12" s="1" t="s">
        <v>54</v>
      </c>
      <c r="H12" s="1" t="s">
        <v>36</v>
      </c>
      <c r="I12" s="1" t="s">
        <v>37</v>
      </c>
      <c r="J12" s="1" t="s">
        <v>38</v>
      </c>
      <c r="K12" s="1" t="s">
        <v>55</v>
      </c>
      <c r="L12" s="1" t="s">
        <v>40</v>
      </c>
      <c r="M12" s="1" t="s">
        <v>56</v>
      </c>
      <c r="N12" s="1" t="s">
        <v>42</v>
      </c>
      <c r="O12" s="1" t="s">
        <v>43</v>
      </c>
      <c r="P12" s="1" t="s">
        <v>158</v>
      </c>
      <c r="Q12" s="1" t="s">
        <v>42</v>
      </c>
      <c r="R12" s="1" t="s">
        <v>159</v>
      </c>
      <c r="S12" s="1" t="s">
        <v>89</v>
      </c>
      <c r="T12" s="1" t="s">
        <v>46</v>
      </c>
      <c r="U12" s="1" t="s">
        <v>160</v>
      </c>
      <c r="V12" s="1" t="s">
        <v>161</v>
      </c>
      <c r="W12" s="1" t="s">
        <v>125</v>
      </c>
      <c r="X12" s="1" t="s">
        <v>323</v>
      </c>
      <c r="Y12" s="1" t="s">
        <v>49</v>
      </c>
      <c r="Z12" s="1" t="s">
        <v>35</v>
      </c>
      <c r="AA12" s="1" t="s">
        <v>35</v>
      </c>
      <c r="AB12" s="1" t="s">
        <v>35</v>
      </c>
      <c r="AC12" s="1" t="s">
        <v>35</v>
      </c>
      <c r="AD12" s="1" t="s">
        <v>35</v>
      </c>
      <c r="AE12" s="1" t="s">
        <v>324</v>
      </c>
      <c r="AF12" s="1" t="s">
        <v>325</v>
      </c>
    </row>
    <row r="13" spans="1:32" x14ac:dyDescent="0.25">
      <c r="A13" s="1" t="s">
        <v>50</v>
      </c>
      <c r="B13" s="1" t="s">
        <v>162</v>
      </c>
      <c r="C13" s="1" t="s">
        <v>163</v>
      </c>
      <c r="D13" s="1" t="s">
        <v>164</v>
      </c>
      <c r="E13" s="24">
        <v>45679</v>
      </c>
      <c r="F13" s="2" t="s">
        <v>103</v>
      </c>
      <c r="G13" s="1" t="s">
        <v>54</v>
      </c>
      <c r="H13" s="1" t="s">
        <v>36</v>
      </c>
      <c r="I13" s="1" t="s">
        <v>37</v>
      </c>
      <c r="J13" s="1" t="s">
        <v>38</v>
      </c>
      <c r="K13" s="1" t="s">
        <v>55</v>
      </c>
      <c r="L13" s="1" t="s">
        <v>40</v>
      </c>
      <c r="M13" s="1" t="s">
        <v>119</v>
      </c>
      <c r="N13" s="1" t="s">
        <v>42</v>
      </c>
      <c r="O13" s="1" t="s">
        <v>43</v>
      </c>
      <c r="P13" s="1" t="s">
        <v>165</v>
      </c>
      <c r="Q13" s="1" t="s">
        <v>42</v>
      </c>
      <c r="R13" s="1" t="s">
        <v>166</v>
      </c>
      <c r="S13" s="1" t="s">
        <v>167</v>
      </c>
      <c r="T13" s="1" t="s">
        <v>46</v>
      </c>
      <c r="U13" s="1" t="s">
        <v>81</v>
      </c>
      <c r="V13" s="1" t="s">
        <v>168</v>
      </c>
      <c r="W13" s="1" t="s">
        <v>125</v>
      </c>
      <c r="X13" s="1" t="s">
        <v>169</v>
      </c>
      <c r="Y13" s="1" t="s">
        <v>104</v>
      </c>
      <c r="Z13" s="1" t="s">
        <v>35</v>
      </c>
      <c r="AA13" s="1" t="s">
        <v>35</v>
      </c>
      <c r="AB13" s="1" t="s">
        <v>35</v>
      </c>
      <c r="AC13" s="1" t="s">
        <v>127</v>
      </c>
      <c r="AD13" s="1" t="s">
        <v>170</v>
      </c>
      <c r="AE13" s="1" t="s">
        <v>171</v>
      </c>
      <c r="AF13" s="1" t="s">
        <v>172</v>
      </c>
    </row>
    <row r="14" spans="1:32" x14ac:dyDescent="0.25">
      <c r="A14" s="1" t="s">
        <v>105</v>
      </c>
      <c r="B14" s="1" t="s">
        <v>173</v>
      </c>
      <c r="C14" s="1" t="s">
        <v>174</v>
      </c>
      <c r="D14" s="1" t="s">
        <v>175</v>
      </c>
      <c r="E14" s="24">
        <v>45680</v>
      </c>
      <c r="F14" s="2" t="s">
        <v>151</v>
      </c>
      <c r="G14" s="1" t="s">
        <v>54</v>
      </c>
      <c r="H14" s="1" t="s">
        <v>36</v>
      </c>
      <c r="I14" s="1" t="s">
        <v>37</v>
      </c>
      <c r="J14" s="1" t="s">
        <v>38</v>
      </c>
      <c r="K14" s="1" t="s">
        <v>55</v>
      </c>
      <c r="L14" s="1" t="s">
        <v>40</v>
      </c>
      <c r="M14" s="1" t="s">
        <v>177</v>
      </c>
      <c r="N14" s="1" t="s">
        <v>42</v>
      </c>
      <c r="O14" s="1" t="s">
        <v>43</v>
      </c>
      <c r="P14" s="1" t="s">
        <v>158</v>
      </c>
      <c r="Q14" s="1" t="s">
        <v>42</v>
      </c>
      <c r="R14" s="1" t="s">
        <v>178</v>
      </c>
      <c r="S14" s="1" t="s">
        <v>135</v>
      </c>
      <c r="T14" s="1" t="s">
        <v>60</v>
      </c>
      <c r="U14" s="1" t="s">
        <v>112</v>
      </c>
      <c r="V14" s="1" t="s">
        <v>179</v>
      </c>
      <c r="W14" s="1" t="s">
        <v>35</v>
      </c>
      <c r="X14" s="1" t="s">
        <v>35</v>
      </c>
      <c r="Y14" s="1" t="s">
        <v>104</v>
      </c>
      <c r="Z14" s="1" t="s">
        <v>35</v>
      </c>
      <c r="AA14" s="1" t="s">
        <v>35</v>
      </c>
      <c r="AB14" s="1" t="s">
        <v>35</v>
      </c>
      <c r="AC14" s="1" t="s">
        <v>180</v>
      </c>
      <c r="AD14" s="1" t="s">
        <v>181</v>
      </c>
      <c r="AE14" s="1" t="s">
        <v>326</v>
      </c>
      <c r="AF14" s="1" t="s">
        <v>327</v>
      </c>
    </row>
    <row r="15" spans="1:32" x14ac:dyDescent="0.25">
      <c r="A15" s="1" t="s">
        <v>65</v>
      </c>
      <c r="B15" s="1" t="s">
        <v>182</v>
      </c>
      <c r="C15" s="1" t="s">
        <v>183</v>
      </c>
      <c r="D15" s="1" t="s">
        <v>184</v>
      </c>
      <c r="E15" s="24">
        <v>45683</v>
      </c>
      <c r="F15" s="2" t="s">
        <v>103</v>
      </c>
      <c r="G15" s="1" t="s">
        <v>54</v>
      </c>
      <c r="H15" s="1" t="s">
        <v>36</v>
      </c>
      <c r="I15" s="1" t="s">
        <v>37</v>
      </c>
      <c r="J15" s="1" t="s">
        <v>38</v>
      </c>
      <c r="K15" s="1" t="s">
        <v>55</v>
      </c>
      <c r="L15" s="1" t="s">
        <v>40</v>
      </c>
      <c r="M15" s="1" t="s">
        <v>56</v>
      </c>
      <c r="N15" s="1" t="s">
        <v>42</v>
      </c>
      <c r="O15" s="1" t="s">
        <v>43</v>
      </c>
      <c r="P15" s="1" t="s">
        <v>185</v>
      </c>
      <c r="Q15" s="1" t="s">
        <v>42</v>
      </c>
      <c r="R15" s="1" t="s">
        <v>186</v>
      </c>
      <c r="S15" s="1" t="s">
        <v>135</v>
      </c>
      <c r="T15" s="1" t="s">
        <v>46</v>
      </c>
      <c r="U15" s="1" t="s">
        <v>81</v>
      </c>
      <c r="V15" s="1" t="s">
        <v>187</v>
      </c>
      <c r="W15" s="1" t="s">
        <v>35</v>
      </c>
      <c r="X15" s="1" t="s">
        <v>35</v>
      </c>
      <c r="Y15" s="1" t="s">
        <v>49</v>
      </c>
      <c r="Z15" s="1" t="s">
        <v>35</v>
      </c>
      <c r="AA15" s="1" t="s">
        <v>35</v>
      </c>
      <c r="AB15" s="1" t="s">
        <v>35</v>
      </c>
      <c r="AC15" s="1" t="s">
        <v>35</v>
      </c>
      <c r="AD15" s="1" t="s">
        <v>35</v>
      </c>
      <c r="AE15" s="1" t="s">
        <v>188</v>
      </c>
      <c r="AF15" s="1" t="s">
        <v>189</v>
      </c>
    </row>
    <row r="16" spans="1:32" customFormat="1" x14ac:dyDescent="0.25">
      <c r="A16" s="1" t="s">
        <v>65</v>
      </c>
      <c r="B16" s="1" t="s">
        <v>209</v>
      </c>
      <c r="C16" s="1" t="s">
        <v>210</v>
      </c>
      <c r="D16" s="1" t="s">
        <v>211</v>
      </c>
      <c r="E16" s="2">
        <v>45694</v>
      </c>
      <c r="F16" s="2" t="s">
        <v>103</v>
      </c>
      <c r="G16" s="1" t="s">
        <v>194</v>
      </c>
      <c r="H16" s="1" t="s">
        <v>36</v>
      </c>
      <c r="I16" s="1" t="s">
        <v>37</v>
      </c>
      <c r="J16" s="1" t="s">
        <v>38</v>
      </c>
      <c r="K16" s="1" t="s">
        <v>55</v>
      </c>
      <c r="L16" s="1" t="s">
        <v>40</v>
      </c>
      <c r="M16" s="1" t="s">
        <v>56</v>
      </c>
      <c r="N16" s="1" t="s">
        <v>42</v>
      </c>
      <c r="O16" s="1" t="s">
        <v>43</v>
      </c>
      <c r="P16" s="1" t="s">
        <v>212</v>
      </c>
      <c r="Q16" s="1" t="s">
        <v>42</v>
      </c>
      <c r="R16" s="1" t="s">
        <v>213</v>
      </c>
      <c r="S16" s="1" t="s">
        <v>214</v>
      </c>
      <c r="T16" s="1" t="s">
        <v>60</v>
      </c>
      <c r="U16" s="1" t="s">
        <v>215</v>
      </c>
      <c r="V16" s="1" t="s">
        <v>216</v>
      </c>
      <c r="W16" s="1" t="s">
        <v>35</v>
      </c>
      <c r="X16" s="1" t="s">
        <v>35</v>
      </c>
      <c r="Y16" s="1" t="s">
        <v>49</v>
      </c>
      <c r="Z16" s="1" t="s">
        <v>35</v>
      </c>
      <c r="AA16" s="1" t="s">
        <v>35</v>
      </c>
      <c r="AB16" s="1" t="s">
        <v>35</v>
      </c>
      <c r="AC16" s="1" t="s">
        <v>35</v>
      </c>
      <c r="AD16" s="1" t="s">
        <v>35</v>
      </c>
      <c r="AE16" s="1" t="s">
        <v>217</v>
      </c>
      <c r="AF16" s="1" t="s">
        <v>218</v>
      </c>
    </row>
    <row r="17" spans="1:32" customFormat="1" x14ac:dyDescent="0.25">
      <c r="A17" s="1" t="s">
        <v>65</v>
      </c>
      <c r="B17" s="1" t="s">
        <v>201</v>
      </c>
      <c r="C17" s="1" t="s">
        <v>202</v>
      </c>
      <c r="D17" s="1" t="s">
        <v>203</v>
      </c>
      <c r="E17" s="2">
        <v>45694</v>
      </c>
      <c r="F17" s="2" t="s">
        <v>102</v>
      </c>
      <c r="G17" s="1" t="s">
        <v>54</v>
      </c>
      <c r="H17" s="1" t="s">
        <v>36</v>
      </c>
      <c r="I17" s="1" t="s">
        <v>37</v>
      </c>
      <c r="J17" s="1" t="s">
        <v>38</v>
      </c>
      <c r="K17" s="1" t="s">
        <v>55</v>
      </c>
      <c r="L17" s="1" t="s">
        <v>40</v>
      </c>
      <c r="M17" s="1" t="s">
        <v>56</v>
      </c>
      <c r="N17" s="1" t="s">
        <v>42</v>
      </c>
      <c r="O17" s="1" t="s">
        <v>43</v>
      </c>
      <c r="P17" s="1" t="s">
        <v>204</v>
      </c>
      <c r="Q17" s="1" t="s">
        <v>42</v>
      </c>
      <c r="R17" s="1" t="s">
        <v>205</v>
      </c>
      <c r="S17" s="1" t="s">
        <v>59</v>
      </c>
      <c r="T17" s="1" t="s">
        <v>46</v>
      </c>
      <c r="U17" s="1" t="s">
        <v>81</v>
      </c>
      <c r="V17" s="1" t="s">
        <v>206</v>
      </c>
      <c r="W17" s="1" t="s">
        <v>35</v>
      </c>
      <c r="X17" s="1" t="s">
        <v>35</v>
      </c>
      <c r="Y17" s="1" t="s">
        <v>49</v>
      </c>
      <c r="Z17" s="1" t="s">
        <v>35</v>
      </c>
      <c r="AA17" s="1" t="s">
        <v>35</v>
      </c>
      <c r="AB17" s="1" t="s">
        <v>35</v>
      </c>
      <c r="AC17" s="1" t="s">
        <v>35</v>
      </c>
      <c r="AD17" s="1" t="s">
        <v>35</v>
      </c>
      <c r="AE17" s="1" t="s">
        <v>207</v>
      </c>
      <c r="AF17" s="1" t="s">
        <v>208</v>
      </c>
    </row>
    <row r="18" spans="1:32" customFormat="1" x14ac:dyDescent="0.25">
      <c r="A18" s="1" t="s">
        <v>105</v>
      </c>
      <c r="B18" s="1" t="s">
        <v>191</v>
      </c>
      <c r="C18" s="1" t="s">
        <v>192</v>
      </c>
      <c r="D18" s="1" t="s">
        <v>193</v>
      </c>
      <c r="E18" s="2">
        <v>45694</v>
      </c>
      <c r="F18" s="2" t="s">
        <v>151</v>
      </c>
      <c r="G18" s="1" t="s">
        <v>194</v>
      </c>
      <c r="H18" s="1" t="s">
        <v>36</v>
      </c>
      <c r="I18" s="1" t="s">
        <v>37</v>
      </c>
      <c r="J18" s="1" t="s">
        <v>38</v>
      </c>
      <c r="K18" s="1" t="s">
        <v>55</v>
      </c>
      <c r="L18" s="1" t="s">
        <v>40</v>
      </c>
      <c r="M18" s="1" t="s">
        <v>56</v>
      </c>
      <c r="N18" s="1" t="s">
        <v>42</v>
      </c>
      <c r="O18" s="1" t="s">
        <v>43</v>
      </c>
      <c r="P18" s="1" t="s">
        <v>195</v>
      </c>
      <c r="Q18" s="1" t="s">
        <v>42</v>
      </c>
      <c r="R18" s="1" t="s">
        <v>196</v>
      </c>
      <c r="S18" s="1" t="s">
        <v>197</v>
      </c>
      <c r="T18" s="1" t="s">
        <v>60</v>
      </c>
      <c r="U18" s="1" t="s">
        <v>112</v>
      </c>
      <c r="V18" s="1" t="s">
        <v>198</v>
      </c>
      <c r="W18" s="1" t="s">
        <v>35</v>
      </c>
      <c r="X18" s="1" t="s">
        <v>35</v>
      </c>
      <c r="Y18" s="1" t="s">
        <v>49</v>
      </c>
      <c r="Z18" s="1" t="s">
        <v>35</v>
      </c>
      <c r="AA18" s="1" t="s">
        <v>35</v>
      </c>
      <c r="AB18" s="1" t="s">
        <v>35</v>
      </c>
      <c r="AC18" s="1" t="s">
        <v>35</v>
      </c>
      <c r="AD18" s="1" t="s">
        <v>35</v>
      </c>
      <c r="AE18" s="1" t="s">
        <v>199</v>
      </c>
      <c r="AF18" s="1" t="s">
        <v>200</v>
      </c>
    </row>
    <row r="19" spans="1:32" x14ac:dyDescent="0.25">
      <c r="A19" s="1" t="s">
        <v>105</v>
      </c>
      <c r="B19" s="1" t="s">
        <v>219</v>
      </c>
      <c r="C19" s="1" t="s">
        <v>220</v>
      </c>
      <c r="D19" s="1" t="s">
        <v>221</v>
      </c>
      <c r="E19" s="2">
        <v>45694</v>
      </c>
      <c r="F19" s="2" t="s">
        <v>151</v>
      </c>
      <c r="G19" s="2" t="s">
        <v>103</v>
      </c>
      <c r="H19" s="1" t="s">
        <v>36</v>
      </c>
      <c r="I19" s="1" t="s">
        <v>37</v>
      </c>
      <c r="J19" s="1" t="s">
        <v>38</v>
      </c>
      <c r="K19" s="1" t="s">
        <v>55</v>
      </c>
      <c r="L19" s="1" t="s">
        <v>40</v>
      </c>
      <c r="M19" s="1" t="s">
        <v>222</v>
      </c>
      <c r="N19" s="1" t="s">
        <v>42</v>
      </c>
      <c r="O19" s="1" t="s">
        <v>43</v>
      </c>
      <c r="P19" s="1" t="s">
        <v>223</v>
      </c>
      <c r="Q19" s="1" t="s">
        <v>42</v>
      </c>
      <c r="R19" s="1" t="s">
        <v>224</v>
      </c>
      <c r="S19" s="1" t="s">
        <v>225</v>
      </c>
      <c r="T19" s="1" t="s">
        <v>60</v>
      </c>
      <c r="U19" s="1" t="s">
        <v>112</v>
      </c>
      <c r="V19" s="1" t="s">
        <v>226</v>
      </c>
      <c r="W19" s="1" t="s">
        <v>35</v>
      </c>
      <c r="X19" s="1" t="s">
        <v>35</v>
      </c>
      <c r="Y19" s="1" t="s">
        <v>104</v>
      </c>
      <c r="Z19" s="1" t="s">
        <v>35</v>
      </c>
      <c r="AA19" s="1" t="s">
        <v>35</v>
      </c>
      <c r="AB19" s="1" t="s">
        <v>35</v>
      </c>
      <c r="AC19" s="1" t="s">
        <v>35</v>
      </c>
      <c r="AD19" s="1" t="s">
        <v>35</v>
      </c>
      <c r="AE19" s="1" t="s">
        <v>294</v>
      </c>
      <c r="AF19" s="1" t="s">
        <v>295</v>
      </c>
    </row>
    <row r="20" spans="1:32" x14ac:dyDescent="0.25">
      <c r="A20" s="1" t="s">
        <v>50</v>
      </c>
      <c r="B20" s="1" t="s">
        <v>227</v>
      </c>
      <c r="C20" s="1" t="s">
        <v>228</v>
      </c>
      <c r="D20" s="1" t="s">
        <v>229</v>
      </c>
      <c r="E20" s="2">
        <v>45698</v>
      </c>
      <c r="F20" s="2" t="s">
        <v>103</v>
      </c>
      <c r="G20" s="1" t="s">
        <v>54</v>
      </c>
      <c r="H20" s="1" t="s">
        <v>36</v>
      </c>
      <c r="I20" s="1" t="s">
        <v>37</v>
      </c>
      <c r="J20" s="1" t="s">
        <v>38</v>
      </c>
      <c r="K20" s="1" t="s">
        <v>55</v>
      </c>
      <c r="L20" s="1" t="s">
        <v>40</v>
      </c>
      <c r="M20" s="1" t="s">
        <v>56</v>
      </c>
      <c r="N20" s="1" t="s">
        <v>42</v>
      </c>
      <c r="O20" s="1" t="s">
        <v>43</v>
      </c>
      <c r="P20" s="1" t="s">
        <v>230</v>
      </c>
      <c r="Q20" s="1" t="s">
        <v>42</v>
      </c>
      <c r="R20" s="1" t="s">
        <v>231</v>
      </c>
      <c r="S20" s="1" t="s">
        <v>167</v>
      </c>
      <c r="T20" s="1" t="s">
        <v>60</v>
      </c>
      <c r="U20" s="1" t="s">
        <v>61</v>
      </c>
      <c r="V20" s="1" t="s">
        <v>232</v>
      </c>
      <c r="W20" s="1" t="s">
        <v>35</v>
      </c>
      <c r="X20" s="1" t="s">
        <v>35</v>
      </c>
      <c r="Y20" s="1" t="s">
        <v>49</v>
      </c>
      <c r="Z20" s="1" t="s">
        <v>35</v>
      </c>
      <c r="AA20" s="1" t="s">
        <v>35</v>
      </c>
      <c r="AB20" s="1" t="s">
        <v>35</v>
      </c>
      <c r="AC20" s="1" t="s">
        <v>35</v>
      </c>
      <c r="AD20" s="1" t="s">
        <v>35</v>
      </c>
      <c r="AE20" s="1" t="s">
        <v>296</v>
      </c>
      <c r="AF20" s="1" t="s">
        <v>297</v>
      </c>
    </row>
    <row r="21" spans="1:32" x14ac:dyDescent="0.25">
      <c r="A21" s="1" t="s">
        <v>105</v>
      </c>
      <c r="B21" s="1" t="s">
        <v>239</v>
      </c>
      <c r="C21" s="42" t="s">
        <v>240</v>
      </c>
      <c r="D21" s="42" t="s">
        <v>241</v>
      </c>
      <c r="E21" s="43">
        <v>45701</v>
      </c>
      <c r="F21" s="43" t="s">
        <v>151</v>
      </c>
      <c r="G21" s="42" t="s">
        <v>103</v>
      </c>
      <c r="H21" s="42" t="s">
        <v>36</v>
      </c>
      <c r="I21" s="42" t="s">
        <v>37</v>
      </c>
      <c r="J21" s="42" t="s">
        <v>38</v>
      </c>
      <c r="K21" s="42" t="s">
        <v>55</v>
      </c>
      <c r="L21" s="1" t="s">
        <v>242</v>
      </c>
      <c r="M21" s="1" t="s">
        <v>243</v>
      </c>
      <c r="N21" s="1" t="s">
        <v>42</v>
      </c>
      <c r="O21" s="1" t="s">
        <v>43</v>
      </c>
      <c r="P21" s="1" t="s">
        <v>243</v>
      </c>
      <c r="Q21" s="1" t="s">
        <v>42</v>
      </c>
      <c r="R21" s="1" t="s">
        <v>244</v>
      </c>
      <c r="S21" s="1" t="s">
        <v>135</v>
      </c>
      <c r="T21" s="1" t="s">
        <v>60</v>
      </c>
      <c r="U21" s="1" t="s">
        <v>112</v>
      </c>
      <c r="V21" s="1" t="s">
        <v>245</v>
      </c>
      <c r="W21" s="1" t="s">
        <v>35</v>
      </c>
      <c r="X21" s="1" t="s">
        <v>35</v>
      </c>
      <c r="Y21" s="1" t="s">
        <v>49</v>
      </c>
      <c r="Z21" s="1" t="s">
        <v>35</v>
      </c>
      <c r="AA21" s="1" t="s">
        <v>35</v>
      </c>
      <c r="AB21" s="1" t="s">
        <v>35</v>
      </c>
      <c r="AC21" s="1" t="s">
        <v>35</v>
      </c>
      <c r="AD21" s="1" t="s">
        <v>35</v>
      </c>
      <c r="AE21" s="1" t="s">
        <v>246</v>
      </c>
      <c r="AF21" s="1" t="s">
        <v>247</v>
      </c>
    </row>
    <row r="22" spans="1:32" x14ac:dyDescent="0.25">
      <c r="A22" s="1" t="s">
        <v>105</v>
      </c>
      <c r="B22" s="1" t="s">
        <v>261</v>
      </c>
      <c r="C22" s="1" t="s">
        <v>262</v>
      </c>
      <c r="D22" s="1" t="s">
        <v>263</v>
      </c>
      <c r="E22" s="2">
        <v>45704</v>
      </c>
      <c r="F22" s="2" t="s">
        <v>151</v>
      </c>
      <c r="G22" s="1" t="s">
        <v>103</v>
      </c>
      <c r="H22" s="1" t="s">
        <v>36</v>
      </c>
      <c r="I22" s="1" t="s">
        <v>37</v>
      </c>
      <c r="J22" s="1" t="s">
        <v>38</v>
      </c>
      <c r="K22" s="1" t="s">
        <v>55</v>
      </c>
      <c r="L22" s="1" t="s">
        <v>69</v>
      </c>
      <c r="M22" s="1" t="s">
        <v>264</v>
      </c>
      <c r="N22" s="1" t="s">
        <v>42</v>
      </c>
      <c r="O22" s="1" t="s">
        <v>43</v>
      </c>
      <c r="P22" s="1" t="s">
        <v>265</v>
      </c>
      <c r="Q22" s="1" t="s">
        <v>42</v>
      </c>
      <c r="R22" s="1" t="s">
        <v>266</v>
      </c>
      <c r="S22" s="1" t="s">
        <v>267</v>
      </c>
      <c r="T22" s="1" t="s">
        <v>60</v>
      </c>
      <c r="U22" s="1" t="s">
        <v>112</v>
      </c>
      <c r="V22" s="1" t="s">
        <v>268</v>
      </c>
      <c r="W22" s="1" t="s">
        <v>35</v>
      </c>
      <c r="X22" s="1" t="s">
        <v>35</v>
      </c>
      <c r="Y22" s="1" t="s">
        <v>49</v>
      </c>
      <c r="Z22" s="1" t="s">
        <v>35</v>
      </c>
      <c r="AA22" s="1" t="s">
        <v>35</v>
      </c>
      <c r="AB22" s="1" t="s">
        <v>35</v>
      </c>
      <c r="AC22" s="1" t="s">
        <v>35</v>
      </c>
      <c r="AD22" s="1" t="s">
        <v>35</v>
      </c>
      <c r="AE22" s="1" t="s">
        <v>269</v>
      </c>
      <c r="AF22" s="1" t="s">
        <v>270</v>
      </c>
    </row>
    <row r="23" spans="1:32" x14ac:dyDescent="0.25">
      <c r="A23" s="1" t="s">
        <v>50</v>
      </c>
      <c r="B23" s="1" t="s">
        <v>254</v>
      </c>
      <c r="C23" s="1" t="s">
        <v>255</v>
      </c>
      <c r="D23" s="1" t="s">
        <v>256</v>
      </c>
      <c r="E23" s="2">
        <v>45704</v>
      </c>
      <c r="F23" s="2" t="s">
        <v>103</v>
      </c>
      <c r="G23" s="1" t="s">
        <v>194</v>
      </c>
      <c r="H23" s="1" t="s">
        <v>36</v>
      </c>
      <c r="I23" s="1" t="s">
        <v>37</v>
      </c>
      <c r="J23" s="1" t="s">
        <v>38</v>
      </c>
      <c r="K23" s="1" t="s">
        <v>55</v>
      </c>
      <c r="L23" s="1" t="s">
        <v>176</v>
      </c>
      <c r="M23" s="1" t="s">
        <v>177</v>
      </c>
      <c r="N23" s="1" t="s">
        <v>42</v>
      </c>
      <c r="O23" s="1" t="s">
        <v>43</v>
      </c>
      <c r="P23" s="1" t="s">
        <v>257</v>
      </c>
      <c r="Q23" s="1" t="s">
        <v>42</v>
      </c>
      <c r="R23" s="1" t="s">
        <v>258</v>
      </c>
      <c r="S23" s="1" t="s">
        <v>259</v>
      </c>
      <c r="T23" s="1" t="s">
        <v>60</v>
      </c>
      <c r="U23" s="1" t="s">
        <v>81</v>
      </c>
      <c r="V23" s="1" t="s">
        <v>260</v>
      </c>
      <c r="W23" s="1" t="s">
        <v>35</v>
      </c>
      <c r="X23" s="1" t="s">
        <v>35</v>
      </c>
      <c r="Y23" s="1" t="s">
        <v>49</v>
      </c>
      <c r="Z23" s="1" t="s">
        <v>35</v>
      </c>
      <c r="AA23" s="1" t="s">
        <v>35</v>
      </c>
      <c r="AB23" s="1" t="s">
        <v>35</v>
      </c>
      <c r="AC23" s="1" t="s">
        <v>35</v>
      </c>
      <c r="AD23" s="1" t="s">
        <v>35</v>
      </c>
      <c r="AE23" s="1" t="s">
        <v>300</v>
      </c>
      <c r="AF23" s="1" t="s">
        <v>301</v>
      </c>
    </row>
    <row r="24" spans="1:32" x14ac:dyDescent="0.25">
      <c r="A24" s="1" t="s">
        <v>50</v>
      </c>
      <c r="B24" s="1" t="s">
        <v>248</v>
      </c>
      <c r="C24" s="1" t="s">
        <v>249</v>
      </c>
      <c r="D24" s="1" t="s">
        <v>250</v>
      </c>
      <c r="E24" s="2">
        <v>45704</v>
      </c>
      <c r="F24" s="2" t="s">
        <v>103</v>
      </c>
      <c r="G24" s="1" t="s">
        <v>194</v>
      </c>
      <c r="H24" s="1" t="s">
        <v>36</v>
      </c>
      <c r="I24" s="1" t="s">
        <v>37</v>
      </c>
      <c r="J24" s="1" t="s">
        <v>38</v>
      </c>
      <c r="K24" s="1" t="s">
        <v>55</v>
      </c>
      <c r="L24" s="1" t="s">
        <v>176</v>
      </c>
      <c r="M24" s="1" t="s">
        <v>177</v>
      </c>
      <c r="N24" s="1" t="s">
        <v>42</v>
      </c>
      <c r="O24" s="1" t="s">
        <v>43</v>
      </c>
      <c r="P24" s="1" t="s">
        <v>120</v>
      </c>
      <c r="Q24" s="1" t="s">
        <v>42</v>
      </c>
      <c r="R24" s="1" t="s">
        <v>251</v>
      </c>
      <c r="S24" s="1" t="s">
        <v>252</v>
      </c>
      <c r="T24" s="1" t="s">
        <v>60</v>
      </c>
      <c r="U24" s="1" t="s">
        <v>81</v>
      </c>
      <c r="V24" s="1" t="s">
        <v>253</v>
      </c>
      <c r="W24" s="1" t="s">
        <v>35</v>
      </c>
      <c r="X24" s="1" t="s">
        <v>35</v>
      </c>
      <c r="Y24" s="1" t="s">
        <v>49</v>
      </c>
      <c r="Z24" s="1" t="s">
        <v>35</v>
      </c>
      <c r="AA24" s="1" t="s">
        <v>35</v>
      </c>
      <c r="AB24" s="1" t="s">
        <v>35</v>
      </c>
      <c r="AC24" s="1" t="s">
        <v>35</v>
      </c>
      <c r="AD24" s="1" t="s">
        <v>35</v>
      </c>
      <c r="AE24" s="1" t="s">
        <v>298</v>
      </c>
      <c r="AF24" s="1" t="s">
        <v>299</v>
      </c>
    </row>
    <row r="25" spans="1:32" x14ac:dyDescent="0.25">
      <c r="A25" s="1" t="s">
        <v>50</v>
      </c>
      <c r="B25" s="1" t="s">
        <v>288</v>
      </c>
      <c r="C25" s="1" t="s">
        <v>289</v>
      </c>
      <c r="D25" s="1" t="s">
        <v>290</v>
      </c>
      <c r="E25" s="2">
        <v>45705</v>
      </c>
      <c r="F25" s="2" t="s">
        <v>39</v>
      </c>
      <c r="G25" s="1" t="s">
        <v>302</v>
      </c>
      <c r="H25" s="1" t="s">
        <v>36</v>
      </c>
      <c r="I25" s="1" t="s">
        <v>37</v>
      </c>
      <c r="J25" s="1" t="s">
        <v>38</v>
      </c>
      <c r="K25" s="1" t="s">
        <v>39</v>
      </c>
      <c r="L25" s="1" t="s">
        <v>40</v>
      </c>
      <c r="M25" s="1" t="s">
        <v>70</v>
      </c>
      <c r="N25" s="1" t="s">
        <v>42</v>
      </c>
      <c r="O25" s="1" t="s">
        <v>43</v>
      </c>
      <c r="P25" s="1" t="s">
        <v>70</v>
      </c>
      <c r="Q25" s="1" t="s">
        <v>42</v>
      </c>
      <c r="R25" s="1" t="s">
        <v>303</v>
      </c>
      <c r="S25" s="1" t="s">
        <v>304</v>
      </c>
      <c r="T25" s="1" t="s">
        <v>46</v>
      </c>
      <c r="U25" s="1" t="s">
        <v>145</v>
      </c>
      <c r="V25" s="1" t="s">
        <v>305</v>
      </c>
      <c r="W25" s="1" t="s">
        <v>35</v>
      </c>
      <c r="X25" s="1" t="s">
        <v>35</v>
      </c>
      <c r="Y25" s="1" t="s">
        <v>104</v>
      </c>
      <c r="Z25" s="1" t="s">
        <v>35</v>
      </c>
      <c r="AA25" s="1" t="s">
        <v>35</v>
      </c>
      <c r="AB25" s="1" t="s">
        <v>35</v>
      </c>
      <c r="AC25" s="1" t="s">
        <v>35</v>
      </c>
      <c r="AD25" s="1" t="s">
        <v>35</v>
      </c>
      <c r="AE25" s="1" t="s">
        <v>306</v>
      </c>
      <c r="AF25" s="1" t="s">
        <v>307</v>
      </c>
    </row>
    <row r="26" spans="1:32" x14ac:dyDescent="0.25">
      <c r="A26" s="1" t="s">
        <v>105</v>
      </c>
      <c r="B26" s="1" t="s">
        <v>291</v>
      </c>
      <c r="C26" s="1" t="s">
        <v>292</v>
      </c>
      <c r="D26" s="1" t="s">
        <v>293</v>
      </c>
      <c r="E26" s="2">
        <v>45706</v>
      </c>
      <c r="F26" s="2" t="s">
        <v>151</v>
      </c>
      <c r="G26" s="1" t="s">
        <v>102</v>
      </c>
      <c r="H26" s="1" t="s">
        <v>36</v>
      </c>
      <c r="I26" s="1" t="s">
        <v>37</v>
      </c>
      <c r="J26" s="1" t="s">
        <v>38</v>
      </c>
      <c r="K26" s="1" t="s">
        <v>55</v>
      </c>
      <c r="L26" s="1" t="s">
        <v>308</v>
      </c>
      <c r="M26" s="1" t="s">
        <v>309</v>
      </c>
      <c r="N26" s="1" t="s">
        <v>42</v>
      </c>
      <c r="O26" s="1" t="s">
        <v>43</v>
      </c>
      <c r="P26" s="1" t="s">
        <v>56</v>
      </c>
      <c r="Q26" s="1" t="s">
        <v>42</v>
      </c>
      <c r="R26" s="1" t="s">
        <v>310</v>
      </c>
      <c r="S26" s="1" t="s">
        <v>98</v>
      </c>
      <c r="T26" s="1" t="s">
        <v>60</v>
      </c>
      <c r="U26" s="1" t="s">
        <v>112</v>
      </c>
      <c r="V26" s="1" t="s">
        <v>311</v>
      </c>
      <c r="W26" s="1" t="s">
        <v>35</v>
      </c>
      <c r="X26" s="1" t="s">
        <v>35</v>
      </c>
      <c r="Y26" s="1" t="s">
        <v>49</v>
      </c>
      <c r="Z26" s="1" t="s">
        <v>35</v>
      </c>
      <c r="AA26" s="1" t="s">
        <v>35</v>
      </c>
      <c r="AB26" s="1" t="s">
        <v>35</v>
      </c>
      <c r="AC26" s="1" t="s">
        <v>35</v>
      </c>
      <c r="AD26" s="1" t="s">
        <v>35</v>
      </c>
      <c r="AE26" s="1" t="s">
        <v>312</v>
      </c>
      <c r="AF26" s="1" t="s">
        <v>313</v>
      </c>
    </row>
    <row r="27" spans="1:32" customFormat="1" x14ac:dyDescent="0.25">
      <c r="A27" s="1" t="s">
        <v>105</v>
      </c>
      <c r="B27" s="1" t="s">
        <v>314</v>
      </c>
      <c r="C27" s="1" t="s">
        <v>315</v>
      </c>
      <c r="D27" s="1" t="s">
        <v>316</v>
      </c>
      <c r="E27" s="2">
        <v>45707</v>
      </c>
      <c r="F27" s="2" t="s">
        <v>151</v>
      </c>
      <c r="G27" s="1" t="s">
        <v>102</v>
      </c>
      <c r="H27" s="1" t="s">
        <v>36</v>
      </c>
      <c r="I27" s="1" t="s">
        <v>37</v>
      </c>
      <c r="J27" s="1" t="s">
        <v>38</v>
      </c>
      <c r="K27" s="1" t="s">
        <v>55</v>
      </c>
      <c r="L27" s="1" t="s">
        <v>40</v>
      </c>
      <c r="M27" s="1" t="s">
        <v>177</v>
      </c>
      <c r="N27" s="1" t="s">
        <v>42</v>
      </c>
      <c r="O27" s="1" t="s">
        <v>43</v>
      </c>
      <c r="P27" s="1" t="s">
        <v>317</v>
      </c>
      <c r="Q27" s="1" t="s">
        <v>42</v>
      </c>
      <c r="R27" s="1" t="s">
        <v>318</v>
      </c>
      <c r="S27" s="1" t="s">
        <v>59</v>
      </c>
      <c r="T27" s="1" t="s">
        <v>60</v>
      </c>
      <c r="U27" s="1" t="s">
        <v>112</v>
      </c>
      <c r="V27" s="1" t="s">
        <v>319</v>
      </c>
      <c r="W27" s="1" t="s">
        <v>35</v>
      </c>
      <c r="X27" s="1" t="s">
        <v>35</v>
      </c>
      <c r="Y27" s="1" t="s">
        <v>49</v>
      </c>
      <c r="Z27" s="1" t="s">
        <v>35</v>
      </c>
      <c r="AA27" s="1" t="s">
        <v>35</v>
      </c>
      <c r="AB27" s="1" t="s">
        <v>35</v>
      </c>
      <c r="AC27" s="1" t="s">
        <v>35</v>
      </c>
      <c r="AD27" s="1" t="s">
        <v>35</v>
      </c>
      <c r="AE27" s="1" t="s">
        <v>320</v>
      </c>
      <c r="AF27" s="1" t="s">
        <v>321</v>
      </c>
    </row>
    <row r="28" spans="1:32" x14ac:dyDescent="0.25">
      <c r="A28" s="1" t="s">
        <v>50</v>
      </c>
      <c r="B28" s="1" t="s">
        <v>328</v>
      </c>
      <c r="C28" s="1" t="s">
        <v>329</v>
      </c>
      <c r="D28" s="1" t="s">
        <v>330</v>
      </c>
      <c r="E28" s="2">
        <v>45708</v>
      </c>
      <c r="F28" s="2" t="s">
        <v>103</v>
      </c>
      <c r="G28" s="1" t="s">
        <v>54</v>
      </c>
      <c r="H28" s="1" t="s">
        <v>36</v>
      </c>
      <c r="I28" s="1" t="s">
        <v>37</v>
      </c>
      <c r="J28" s="1" t="s">
        <v>38</v>
      </c>
      <c r="K28" s="1" t="s">
        <v>55</v>
      </c>
      <c r="L28" s="1" t="s">
        <v>40</v>
      </c>
      <c r="M28" s="1" t="s">
        <v>56</v>
      </c>
      <c r="N28" s="1" t="s">
        <v>42</v>
      </c>
      <c r="O28" s="1" t="s">
        <v>43</v>
      </c>
      <c r="P28" s="1" t="s">
        <v>331</v>
      </c>
      <c r="Q28" s="1" t="s">
        <v>42</v>
      </c>
      <c r="R28" s="1" t="s">
        <v>332</v>
      </c>
      <c r="S28" s="1" t="s">
        <v>333</v>
      </c>
      <c r="T28" s="1" t="s">
        <v>60</v>
      </c>
      <c r="U28" s="1" t="s">
        <v>61</v>
      </c>
      <c r="V28" s="1" t="s">
        <v>334</v>
      </c>
      <c r="W28" s="1" t="s">
        <v>35</v>
      </c>
      <c r="X28" s="1" t="s">
        <v>35</v>
      </c>
      <c r="Y28" s="1" t="s">
        <v>104</v>
      </c>
      <c r="Z28" s="1" t="s">
        <v>35</v>
      </c>
      <c r="AA28" s="1" t="s">
        <v>35</v>
      </c>
      <c r="AB28" s="1" t="s">
        <v>35</v>
      </c>
      <c r="AC28" s="1" t="s">
        <v>335</v>
      </c>
      <c r="AD28" s="1" t="s">
        <v>336</v>
      </c>
      <c r="AE28" s="1" t="s">
        <v>337</v>
      </c>
      <c r="AF28" s="1" t="s">
        <v>338</v>
      </c>
    </row>
    <row r="29" spans="1:32" x14ac:dyDescent="0.25">
      <c r="A29" s="1" t="s">
        <v>105</v>
      </c>
      <c r="B29" s="1" t="s">
        <v>339</v>
      </c>
      <c r="C29" s="1" t="s">
        <v>340</v>
      </c>
      <c r="D29" s="1" t="s">
        <v>341</v>
      </c>
      <c r="E29" s="2">
        <v>45709</v>
      </c>
      <c r="F29" s="2" t="s">
        <v>151</v>
      </c>
      <c r="G29" s="1" t="s">
        <v>102</v>
      </c>
      <c r="H29" s="1" t="s">
        <v>36</v>
      </c>
      <c r="I29" s="1" t="s">
        <v>37</v>
      </c>
      <c r="J29" s="1" t="s">
        <v>38</v>
      </c>
      <c r="K29" s="1" t="s">
        <v>55</v>
      </c>
      <c r="L29" s="1" t="s">
        <v>308</v>
      </c>
      <c r="M29" s="1" t="s">
        <v>309</v>
      </c>
      <c r="N29" s="1" t="s">
        <v>42</v>
      </c>
      <c r="O29" s="1" t="s">
        <v>43</v>
      </c>
      <c r="P29" s="1" t="s">
        <v>309</v>
      </c>
      <c r="Q29" s="1" t="s">
        <v>42</v>
      </c>
      <c r="R29" s="1" t="s">
        <v>342</v>
      </c>
      <c r="S29" s="1" t="s">
        <v>122</v>
      </c>
      <c r="T29" s="1" t="s">
        <v>60</v>
      </c>
      <c r="U29" s="1" t="s">
        <v>112</v>
      </c>
      <c r="V29" s="1" t="s">
        <v>343</v>
      </c>
      <c r="W29" s="1" t="s">
        <v>35</v>
      </c>
      <c r="X29" s="1" t="s">
        <v>35</v>
      </c>
      <c r="Y29" s="1" t="s">
        <v>49</v>
      </c>
      <c r="Z29" s="1" t="s">
        <v>35</v>
      </c>
      <c r="AA29" s="1" t="s">
        <v>35</v>
      </c>
      <c r="AB29" s="1" t="s">
        <v>35</v>
      </c>
      <c r="AC29" s="1" t="s">
        <v>35</v>
      </c>
      <c r="AD29" s="1" t="s">
        <v>35</v>
      </c>
      <c r="AE29" s="1" t="s">
        <v>344</v>
      </c>
      <c r="AF29" s="1" t="s">
        <v>345</v>
      </c>
    </row>
    <row r="30" spans="1:32" x14ac:dyDescent="0.25">
      <c r="A30" s="1" t="s">
        <v>65</v>
      </c>
      <c r="B30" s="1" t="s">
        <v>356</v>
      </c>
      <c r="C30" s="1" t="s">
        <v>357</v>
      </c>
      <c r="D30" s="1" t="s">
        <v>358</v>
      </c>
      <c r="E30" s="2">
        <v>45712</v>
      </c>
      <c r="F30" s="2" t="s">
        <v>102</v>
      </c>
      <c r="G30" s="1" t="s">
        <v>194</v>
      </c>
      <c r="H30" s="1" t="s">
        <v>36</v>
      </c>
      <c r="I30" s="1" t="s">
        <v>37</v>
      </c>
      <c r="J30" s="1" t="s">
        <v>38</v>
      </c>
      <c r="K30" s="1" t="s">
        <v>55</v>
      </c>
      <c r="L30" s="1" t="s">
        <v>176</v>
      </c>
      <c r="M30" s="1" t="s">
        <v>56</v>
      </c>
      <c r="N30" s="1" t="s">
        <v>42</v>
      </c>
      <c r="O30" s="1" t="s">
        <v>43</v>
      </c>
      <c r="P30" s="1" t="s">
        <v>56</v>
      </c>
      <c r="Q30" s="1" t="s">
        <v>42</v>
      </c>
      <c r="R30" s="1" t="s">
        <v>359</v>
      </c>
      <c r="S30" s="1" t="s">
        <v>59</v>
      </c>
      <c r="T30" s="1" t="s">
        <v>46</v>
      </c>
      <c r="U30" s="1" t="s">
        <v>61</v>
      </c>
      <c r="V30" s="1" t="s">
        <v>360</v>
      </c>
      <c r="W30" s="1" t="s">
        <v>35</v>
      </c>
      <c r="X30" s="1" t="s">
        <v>35</v>
      </c>
      <c r="Y30" s="1" t="s">
        <v>49</v>
      </c>
      <c r="Z30" s="1" t="s">
        <v>35</v>
      </c>
      <c r="AA30" s="1" t="s">
        <v>35</v>
      </c>
      <c r="AB30" s="1" t="s">
        <v>35</v>
      </c>
      <c r="AC30" s="1" t="s">
        <v>35</v>
      </c>
      <c r="AD30" s="1" t="s">
        <v>35</v>
      </c>
      <c r="AE30" s="1" t="s">
        <v>361</v>
      </c>
      <c r="AF30" s="1" t="s">
        <v>362</v>
      </c>
    </row>
    <row r="31" spans="1:32" x14ac:dyDescent="0.25">
      <c r="A31" s="1" t="s">
        <v>50</v>
      </c>
      <c r="B31" s="1" t="s">
        <v>346</v>
      </c>
      <c r="C31" s="1" t="s">
        <v>347</v>
      </c>
      <c r="D31" s="1" t="s">
        <v>348</v>
      </c>
      <c r="E31" s="2">
        <v>45712</v>
      </c>
      <c r="F31" s="2" t="s">
        <v>39</v>
      </c>
      <c r="G31" s="1" t="s">
        <v>349</v>
      </c>
      <c r="H31" s="1" t="s">
        <v>36</v>
      </c>
      <c r="I31" s="1" t="s">
        <v>37</v>
      </c>
      <c r="J31" s="1" t="s">
        <v>38</v>
      </c>
      <c r="K31" s="1" t="s">
        <v>39</v>
      </c>
      <c r="L31" s="1" t="s">
        <v>40</v>
      </c>
      <c r="M31" s="1" t="s">
        <v>70</v>
      </c>
      <c r="N31" s="1" t="s">
        <v>42</v>
      </c>
      <c r="O31" s="1" t="s">
        <v>43</v>
      </c>
      <c r="P31" s="1" t="s">
        <v>70</v>
      </c>
      <c r="Q31" s="1" t="s">
        <v>42</v>
      </c>
      <c r="R31" s="1" t="s">
        <v>350</v>
      </c>
      <c r="S31" s="1" t="s">
        <v>351</v>
      </c>
      <c r="T31" s="1" t="s">
        <v>60</v>
      </c>
      <c r="U31" s="1" t="s">
        <v>352</v>
      </c>
      <c r="V31" s="1" t="s">
        <v>353</v>
      </c>
      <c r="W31" s="1" t="s">
        <v>35</v>
      </c>
      <c r="X31" s="1" t="s">
        <v>35</v>
      </c>
      <c r="Y31" s="1" t="s">
        <v>49</v>
      </c>
      <c r="Z31" s="1" t="s">
        <v>35</v>
      </c>
      <c r="AA31" s="1" t="s">
        <v>35</v>
      </c>
      <c r="AB31" s="1" t="s">
        <v>35</v>
      </c>
      <c r="AC31" s="1" t="s">
        <v>35</v>
      </c>
      <c r="AD31" s="1" t="s">
        <v>35</v>
      </c>
      <c r="AE31" s="1" t="s">
        <v>354</v>
      </c>
      <c r="AF31" s="1" t="s">
        <v>355</v>
      </c>
    </row>
    <row r="32" spans="1:32" x14ac:dyDescent="0.25">
      <c r="A32" s="1" t="s">
        <v>105</v>
      </c>
      <c r="B32" s="1" t="s">
        <v>363</v>
      </c>
      <c r="C32" s="1" t="s">
        <v>364</v>
      </c>
      <c r="D32" s="1" t="s">
        <v>365</v>
      </c>
      <c r="E32" s="2">
        <v>45713</v>
      </c>
      <c r="F32" s="2" t="s">
        <v>2711</v>
      </c>
      <c r="G32" s="1" t="s">
        <v>194</v>
      </c>
      <c r="H32" s="1" t="s">
        <v>36</v>
      </c>
      <c r="I32" s="1" t="s">
        <v>37</v>
      </c>
      <c r="J32" s="1" t="s">
        <v>38</v>
      </c>
      <c r="K32" s="1" t="s">
        <v>55</v>
      </c>
      <c r="L32" s="1" t="s">
        <v>176</v>
      </c>
      <c r="M32" s="1" t="s">
        <v>177</v>
      </c>
      <c r="N32" s="1" t="s">
        <v>42</v>
      </c>
      <c r="O32" s="1" t="s">
        <v>43</v>
      </c>
      <c r="P32" s="1" t="s">
        <v>222</v>
      </c>
      <c r="Q32" s="1" t="s">
        <v>42</v>
      </c>
      <c r="R32" s="1" t="s">
        <v>366</v>
      </c>
      <c r="S32" s="1" t="s">
        <v>367</v>
      </c>
      <c r="T32" s="1" t="s">
        <v>60</v>
      </c>
      <c r="U32" s="1" t="s">
        <v>112</v>
      </c>
      <c r="V32" s="1" t="s">
        <v>368</v>
      </c>
      <c r="W32" s="1" t="s">
        <v>35</v>
      </c>
      <c r="X32" s="1" t="s">
        <v>35</v>
      </c>
      <c r="Y32" s="1" t="s">
        <v>49</v>
      </c>
      <c r="Z32" s="1" t="s">
        <v>35</v>
      </c>
      <c r="AA32" s="1" t="s">
        <v>35</v>
      </c>
      <c r="AB32" s="1" t="s">
        <v>35</v>
      </c>
      <c r="AC32" s="1" t="s">
        <v>35</v>
      </c>
      <c r="AD32" s="1" t="s">
        <v>35</v>
      </c>
      <c r="AE32" s="1" t="s">
        <v>369</v>
      </c>
      <c r="AF32" s="1" t="s">
        <v>370</v>
      </c>
    </row>
    <row r="33" spans="1:32" x14ac:dyDescent="0.25">
      <c r="A33" s="1" t="s">
        <v>65</v>
      </c>
      <c r="B33" s="1" t="s">
        <v>371</v>
      </c>
      <c r="C33" s="1" t="s">
        <v>372</v>
      </c>
      <c r="D33" s="1" t="s">
        <v>373</v>
      </c>
      <c r="E33" s="2">
        <v>45724</v>
      </c>
      <c r="F33" s="2" t="s">
        <v>102</v>
      </c>
      <c r="G33" s="1" t="s">
        <v>194</v>
      </c>
      <c r="H33" s="1" t="s">
        <v>36</v>
      </c>
      <c r="I33" s="1" t="s">
        <v>37</v>
      </c>
      <c r="J33" s="1" t="s">
        <v>38</v>
      </c>
      <c r="K33" s="1" t="s">
        <v>55</v>
      </c>
      <c r="L33" s="1" t="s">
        <v>69</v>
      </c>
      <c r="M33" s="1" t="s">
        <v>264</v>
      </c>
      <c r="N33" s="1" t="s">
        <v>42</v>
      </c>
      <c r="O33" s="1" t="s">
        <v>43</v>
      </c>
      <c r="P33" s="1" t="s">
        <v>317</v>
      </c>
      <c r="Q33" s="1" t="s">
        <v>42</v>
      </c>
      <c r="R33" s="1" t="s">
        <v>374</v>
      </c>
      <c r="S33" s="1" t="s">
        <v>89</v>
      </c>
      <c r="T33" s="1" t="s">
        <v>60</v>
      </c>
      <c r="U33" s="1" t="s">
        <v>215</v>
      </c>
      <c r="V33" s="1" t="s">
        <v>375</v>
      </c>
      <c r="W33" s="1" t="s">
        <v>125</v>
      </c>
      <c r="X33" s="1" t="s">
        <v>376</v>
      </c>
      <c r="Y33" s="1" t="s">
        <v>104</v>
      </c>
      <c r="Z33" s="1" t="s">
        <v>35</v>
      </c>
      <c r="AA33" s="1" t="s">
        <v>35</v>
      </c>
      <c r="AB33" s="1" t="s">
        <v>35</v>
      </c>
      <c r="AC33" s="1" t="s">
        <v>35</v>
      </c>
      <c r="AD33" s="1" t="s">
        <v>35</v>
      </c>
      <c r="AE33" s="1" t="s">
        <v>377</v>
      </c>
      <c r="AF33" s="1" t="s">
        <v>378</v>
      </c>
    </row>
    <row r="34" spans="1:32" x14ac:dyDescent="0.25">
      <c r="A34" s="1" t="s">
        <v>65</v>
      </c>
      <c r="B34" s="1" t="s">
        <v>396</v>
      </c>
      <c r="C34" s="1" t="s">
        <v>397</v>
      </c>
      <c r="D34" s="1" t="s">
        <v>398</v>
      </c>
      <c r="E34" s="2">
        <v>45725</v>
      </c>
      <c r="F34" s="2" t="s">
        <v>102</v>
      </c>
      <c r="G34" s="1" t="s">
        <v>194</v>
      </c>
      <c r="H34" s="1" t="s">
        <v>36</v>
      </c>
      <c r="I34" s="1" t="s">
        <v>37</v>
      </c>
      <c r="J34" s="1" t="s">
        <v>38</v>
      </c>
      <c r="K34" s="1" t="s">
        <v>55</v>
      </c>
      <c r="L34" s="1" t="s">
        <v>40</v>
      </c>
      <c r="M34" s="1" t="s">
        <v>56</v>
      </c>
      <c r="N34" s="1" t="s">
        <v>42</v>
      </c>
      <c r="O34" s="1" t="s">
        <v>43</v>
      </c>
      <c r="P34" s="1" t="s">
        <v>399</v>
      </c>
      <c r="Q34" s="1" t="s">
        <v>42</v>
      </c>
      <c r="R34" s="1" t="s">
        <v>400</v>
      </c>
      <c r="S34" s="1" t="s">
        <v>111</v>
      </c>
      <c r="T34" s="1" t="s">
        <v>60</v>
      </c>
      <c r="U34" s="1" t="s">
        <v>61</v>
      </c>
      <c r="V34" s="1" t="s">
        <v>401</v>
      </c>
      <c r="W34" s="1" t="s">
        <v>35</v>
      </c>
      <c r="X34" s="1" t="s">
        <v>35</v>
      </c>
      <c r="Y34" s="1" t="s">
        <v>104</v>
      </c>
      <c r="Z34" s="1" t="s">
        <v>35</v>
      </c>
      <c r="AA34" s="1" t="s">
        <v>35</v>
      </c>
      <c r="AB34" s="1" t="s">
        <v>35</v>
      </c>
      <c r="AC34" s="1" t="s">
        <v>35</v>
      </c>
      <c r="AD34" s="1" t="s">
        <v>35</v>
      </c>
      <c r="AE34" s="1" t="s">
        <v>402</v>
      </c>
      <c r="AF34" s="1" t="s">
        <v>403</v>
      </c>
    </row>
    <row r="35" spans="1:32" x14ac:dyDescent="0.25">
      <c r="A35" s="1" t="s">
        <v>50</v>
      </c>
      <c r="B35" s="1" t="s">
        <v>388</v>
      </c>
      <c r="C35" s="1" t="s">
        <v>389</v>
      </c>
      <c r="D35" s="1" t="s">
        <v>390</v>
      </c>
      <c r="E35" s="2">
        <v>45725</v>
      </c>
      <c r="F35" s="2" t="s">
        <v>103</v>
      </c>
      <c r="G35" s="1" t="s">
        <v>194</v>
      </c>
      <c r="H35" s="1" t="s">
        <v>36</v>
      </c>
      <c r="I35" s="1" t="s">
        <v>37</v>
      </c>
      <c r="J35" s="1" t="s">
        <v>38</v>
      </c>
      <c r="K35" s="1" t="s">
        <v>55</v>
      </c>
      <c r="L35" s="1" t="s">
        <v>40</v>
      </c>
      <c r="M35" s="1" t="s">
        <v>56</v>
      </c>
      <c r="N35" s="1" t="s">
        <v>42</v>
      </c>
      <c r="O35" s="1" t="s">
        <v>43</v>
      </c>
      <c r="P35" s="1" t="s">
        <v>212</v>
      </c>
      <c r="Q35" s="1" t="s">
        <v>42</v>
      </c>
      <c r="R35" s="1" t="s">
        <v>391</v>
      </c>
      <c r="S35" s="1" t="s">
        <v>392</v>
      </c>
      <c r="T35" s="1" t="s">
        <v>46</v>
      </c>
      <c r="U35" s="1" t="s">
        <v>61</v>
      </c>
      <c r="V35" s="1" t="s">
        <v>393</v>
      </c>
      <c r="W35" s="1" t="s">
        <v>35</v>
      </c>
      <c r="X35" s="1" t="s">
        <v>35</v>
      </c>
      <c r="Y35" s="1" t="s">
        <v>104</v>
      </c>
      <c r="Z35" s="1" t="s">
        <v>35</v>
      </c>
      <c r="AA35" s="1" t="s">
        <v>35</v>
      </c>
      <c r="AB35" s="1" t="s">
        <v>35</v>
      </c>
      <c r="AC35" s="1" t="s">
        <v>35</v>
      </c>
      <c r="AD35" s="1" t="s">
        <v>35</v>
      </c>
      <c r="AE35" s="1" t="s">
        <v>394</v>
      </c>
      <c r="AF35" s="1" t="s">
        <v>395</v>
      </c>
    </row>
    <row r="36" spans="1:32" x14ac:dyDescent="0.25">
      <c r="A36" s="1" t="s">
        <v>65</v>
      </c>
      <c r="B36" s="1" t="s">
        <v>379</v>
      </c>
      <c r="C36" s="1" t="s">
        <v>380</v>
      </c>
      <c r="D36" s="1" t="s">
        <v>381</v>
      </c>
      <c r="E36" s="2">
        <v>45725</v>
      </c>
      <c r="F36" s="2" t="s">
        <v>102</v>
      </c>
      <c r="G36" s="1" t="s">
        <v>54</v>
      </c>
      <c r="H36" s="1" t="s">
        <v>36</v>
      </c>
      <c r="I36" s="1" t="s">
        <v>37</v>
      </c>
      <c r="J36" s="1" t="s">
        <v>38</v>
      </c>
      <c r="K36" s="1" t="s">
        <v>55</v>
      </c>
      <c r="L36" s="1" t="s">
        <v>40</v>
      </c>
      <c r="M36" s="1" t="s">
        <v>56</v>
      </c>
      <c r="N36" s="1" t="s">
        <v>42</v>
      </c>
      <c r="O36" s="1" t="s">
        <v>43</v>
      </c>
      <c r="P36" s="1" t="s">
        <v>382</v>
      </c>
      <c r="Q36" s="1" t="s">
        <v>383</v>
      </c>
      <c r="R36" s="1" t="s">
        <v>384</v>
      </c>
      <c r="S36" s="1" t="s">
        <v>197</v>
      </c>
      <c r="T36" s="1" t="s">
        <v>60</v>
      </c>
      <c r="U36" s="1" t="s">
        <v>61</v>
      </c>
      <c r="V36" s="1" t="s">
        <v>385</v>
      </c>
      <c r="W36" s="1" t="s">
        <v>35</v>
      </c>
      <c r="X36" s="1" t="s">
        <v>35</v>
      </c>
      <c r="Y36" s="1" t="s">
        <v>49</v>
      </c>
      <c r="Z36" s="1" t="s">
        <v>35</v>
      </c>
      <c r="AA36" s="1" t="s">
        <v>35</v>
      </c>
      <c r="AB36" s="1" t="s">
        <v>35</v>
      </c>
      <c r="AC36" s="1" t="s">
        <v>35</v>
      </c>
      <c r="AD36" s="1" t="s">
        <v>35</v>
      </c>
      <c r="AE36" s="1" t="s">
        <v>386</v>
      </c>
      <c r="AF36" s="1" t="s">
        <v>387</v>
      </c>
    </row>
    <row r="37" spans="1:32" x14ac:dyDescent="0.25">
      <c r="A37" s="1" t="s">
        <v>105</v>
      </c>
      <c r="B37" s="1" t="s">
        <v>414</v>
      </c>
      <c r="C37" s="1" t="s">
        <v>415</v>
      </c>
      <c r="D37" s="1" t="s">
        <v>416</v>
      </c>
      <c r="E37" s="2">
        <v>45726</v>
      </c>
      <c r="F37" s="2" t="s">
        <v>103</v>
      </c>
      <c r="G37" s="1" t="s">
        <v>194</v>
      </c>
      <c r="H37" s="1" t="s">
        <v>36</v>
      </c>
      <c r="I37" s="1" t="s">
        <v>37</v>
      </c>
      <c r="J37" s="1" t="s">
        <v>38</v>
      </c>
      <c r="K37" s="1" t="s">
        <v>55</v>
      </c>
      <c r="L37" s="1" t="s">
        <v>40</v>
      </c>
      <c r="M37" s="1" t="s">
        <v>56</v>
      </c>
      <c r="N37" s="1" t="s">
        <v>42</v>
      </c>
      <c r="O37" s="1" t="s">
        <v>43</v>
      </c>
      <c r="P37" s="1" t="s">
        <v>417</v>
      </c>
      <c r="Q37" s="1" t="s">
        <v>42</v>
      </c>
      <c r="R37" s="1" t="s">
        <v>418</v>
      </c>
      <c r="S37" s="1" t="s">
        <v>419</v>
      </c>
      <c r="T37" s="1" t="s">
        <v>60</v>
      </c>
      <c r="U37" s="1" t="s">
        <v>112</v>
      </c>
      <c r="V37" s="1" t="s">
        <v>420</v>
      </c>
      <c r="W37" s="1" t="s">
        <v>35</v>
      </c>
      <c r="X37" s="1" t="s">
        <v>35</v>
      </c>
      <c r="Y37" s="1" t="s">
        <v>104</v>
      </c>
      <c r="Z37" s="1" t="s">
        <v>35</v>
      </c>
      <c r="AA37" s="1" t="s">
        <v>35</v>
      </c>
      <c r="AB37" s="1" t="s">
        <v>35</v>
      </c>
      <c r="AC37" s="1" t="s">
        <v>35</v>
      </c>
      <c r="AD37" s="1" t="s">
        <v>35</v>
      </c>
      <c r="AE37" s="1" t="s">
        <v>421</v>
      </c>
      <c r="AF37" s="1" t="s">
        <v>422</v>
      </c>
    </row>
    <row r="38" spans="1:32" x14ac:dyDescent="0.25">
      <c r="A38" s="1" t="s">
        <v>50</v>
      </c>
      <c r="B38" s="1" t="s">
        <v>404</v>
      </c>
      <c r="C38" s="1" t="s">
        <v>405</v>
      </c>
      <c r="D38" s="1" t="s">
        <v>406</v>
      </c>
      <c r="E38" s="2">
        <v>45726</v>
      </c>
      <c r="F38" s="2" t="s">
        <v>102</v>
      </c>
      <c r="G38" s="1" t="s">
        <v>194</v>
      </c>
      <c r="H38" s="1" t="s">
        <v>36</v>
      </c>
      <c r="I38" s="1" t="s">
        <v>37</v>
      </c>
      <c r="J38" s="1" t="s">
        <v>38</v>
      </c>
      <c r="K38" s="1" t="s">
        <v>55</v>
      </c>
      <c r="L38" s="1" t="s">
        <v>40</v>
      </c>
      <c r="M38" s="1" t="s">
        <v>56</v>
      </c>
      <c r="N38" s="1" t="s">
        <v>42</v>
      </c>
      <c r="O38" s="1" t="s">
        <v>43</v>
      </c>
      <c r="P38" s="1" t="s">
        <v>407</v>
      </c>
      <c r="Q38" s="1" t="s">
        <v>42</v>
      </c>
      <c r="R38" s="1" t="s">
        <v>408</v>
      </c>
      <c r="S38" s="1" t="s">
        <v>409</v>
      </c>
      <c r="T38" s="1" t="s">
        <v>60</v>
      </c>
      <c r="U38" s="1" t="s">
        <v>410</v>
      </c>
      <c r="V38" s="1" t="s">
        <v>411</v>
      </c>
      <c r="W38" s="1" t="s">
        <v>35</v>
      </c>
      <c r="X38" s="1" t="s">
        <v>35</v>
      </c>
      <c r="Y38" s="1" t="s">
        <v>104</v>
      </c>
      <c r="Z38" s="1" t="s">
        <v>35</v>
      </c>
      <c r="AA38" s="1" t="s">
        <v>35</v>
      </c>
      <c r="AB38" s="1" t="s">
        <v>35</v>
      </c>
      <c r="AC38" s="1" t="s">
        <v>35</v>
      </c>
      <c r="AD38" s="1" t="s">
        <v>35</v>
      </c>
      <c r="AE38" s="1" t="s">
        <v>412</v>
      </c>
      <c r="AF38" s="1" t="s">
        <v>413</v>
      </c>
    </row>
    <row r="39" spans="1:32" x14ac:dyDescent="0.25">
      <c r="A39" s="1" t="s">
        <v>31</v>
      </c>
      <c r="B39" s="1" t="s">
        <v>423</v>
      </c>
      <c r="C39" s="1" t="s">
        <v>424</v>
      </c>
      <c r="D39" s="1" t="s">
        <v>425</v>
      </c>
      <c r="E39" s="2">
        <v>45728</v>
      </c>
      <c r="F39" s="2" t="s">
        <v>102</v>
      </c>
      <c r="G39" s="1" t="s">
        <v>302</v>
      </c>
      <c r="H39" s="1" t="s">
        <v>36</v>
      </c>
      <c r="I39" s="1" t="s">
        <v>37</v>
      </c>
      <c r="J39" s="1" t="s">
        <v>38</v>
      </c>
      <c r="K39" s="1" t="s">
        <v>55</v>
      </c>
      <c r="L39" s="1" t="s">
        <v>176</v>
      </c>
      <c r="M39" s="1" t="s">
        <v>177</v>
      </c>
      <c r="N39" s="1" t="s">
        <v>42</v>
      </c>
      <c r="O39" s="1" t="s">
        <v>43</v>
      </c>
      <c r="P39" s="1" t="s">
        <v>120</v>
      </c>
      <c r="Q39" s="1" t="s">
        <v>42</v>
      </c>
      <c r="R39" s="1" t="s">
        <v>143</v>
      </c>
      <c r="S39" s="1" t="s">
        <v>144</v>
      </c>
      <c r="T39" s="1" t="s">
        <v>46</v>
      </c>
      <c r="U39" s="1" t="s">
        <v>61</v>
      </c>
      <c r="V39" s="1" t="s">
        <v>426</v>
      </c>
      <c r="W39" s="1" t="s">
        <v>35</v>
      </c>
      <c r="X39" s="1" t="s">
        <v>35</v>
      </c>
      <c r="Y39" s="1" t="s">
        <v>49</v>
      </c>
      <c r="Z39" s="1" t="s">
        <v>35</v>
      </c>
      <c r="AA39" s="1" t="s">
        <v>35</v>
      </c>
      <c r="AB39" s="1" t="s">
        <v>35</v>
      </c>
      <c r="AC39" s="1" t="s">
        <v>35</v>
      </c>
      <c r="AD39" s="1" t="s">
        <v>35</v>
      </c>
      <c r="AE39" s="1" t="s">
        <v>427</v>
      </c>
      <c r="AF39" s="1" t="s">
        <v>428</v>
      </c>
    </row>
    <row r="40" spans="1:32" x14ac:dyDescent="0.25">
      <c r="A40" s="1" t="s">
        <v>50</v>
      </c>
      <c r="B40" s="1" t="s">
        <v>440</v>
      </c>
      <c r="C40" s="1" t="s">
        <v>441</v>
      </c>
      <c r="D40" s="1" t="s">
        <v>442</v>
      </c>
      <c r="E40" s="2">
        <v>45732</v>
      </c>
      <c r="F40" s="2" t="s">
        <v>103</v>
      </c>
      <c r="G40" s="1" t="s">
        <v>54</v>
      </c>
      <c r="H40" s="1" t="s">
        <v>36</v>
      </c>
      <c r="I40" s="1" t="s">
        <v>37</v>
      </c>
      <c r="J40" s="1" t="s">
        <v>38</v>
      </c>
      <c r="K40" s="1" t="s">
        <v>55</v>
      </c>
      <c r="L40" s="1" t="s">
        <v>40</v>
      </c>
      <c r="M40" s="1" t="s">
        <v>56</v>
      </c>
      <c r="N40" s="1" t="s">
        <v>42</v>
      </c>
      <c r="O40" s="1" t="s">
        <v>43</v>
      </c>
      <c r="P40" s="1" t="s">
        <v>204</v>
      </c>
      <c r="Q40" s="1" t="s">
        <v>42</v>
      </c>
      <c r="R40" s="1" t="s">
        <v>443</v>
      </c>
      <c r="S40" s="1" t="s">
        <v>122</v>
      </c>
      <c r="T40" s="1" t="s">
        <v>60</v>
      </c>
      <c r="U40" s="1" t="s">
        <v>61</v>
      </c>
      <c r="V40" s="1" t="s">
        <v>444</v>
      </c>
      <c r="W40" s="1" t="s">
        <v>35</v>
      </c>
      <c r="X40" s="1" t="s">
        <v>35</v>
      </c>
      <c r="Y40" s="1" t="s">
        <v>104</v>
      </c>
      <c r="Z40" s="1" t="s">
        <v>35</v>
      </c>
      <c r="AA40" s="1" t="s">
        <v>35</v>
      </c>
      <c r="AB40" s="1" t="s">
        <v>35</v>
      </c>
      <c r="AC40" s="1" t="s">
        <v>35</v>
      </c>
      <c r="AD40" s="1" t="s">
        <v>35</v>
      </c>
      <c r="AE40" s="1" t="s">
        <v>445</v>
      </c>
      <c r="AF40" s="1" t="s">
        <v>446</v>
      </c>
    </row>
    <row r="41" spans="1:32" x14ac:dyDescent="0.25">
      <c r="A41" s="1" t="s">
        <v>50</v>
      </c>
      <c r="B41" s="1" t="s">
        <v>429</v>
      </c>
      <c r="C41" s="1" t="s">
        <v>430</v>
      </c>
      <c r="D41" s="1" t="s">
        <v>431</v>
      </c>
      <c r="E41" s="2">
        <v>45732</v>
      </c>
      <c r="F41" s="2" t="s">
        <v>103</v>
      </c>
      <c r="G41" s="1" t="s">
        <v>302</v>
      </c>
      <c r="H41" s="1" t="s">
        <v>36</v>
      </c>
      <c r="I41" s="1" t="s">
        <v>37</v>
      </c>
      <c r="J41" s="1" t="s">
        <v>432</v>
      </c>
      <c r="K41" s="1" t="s">
        <v>55</v>
      </c>
      <c r="L41" s="1" t="s">
        <v>40</v>
      </c>
      <c r="M41" s="1" t="s">
        <v>433</v>
      </c>
      <c r="N41" s="1" t="s">
        <v>42</v>
      </c>
      <c r="O41" s="1" t="s">
        <v>43</v>
      </c>
      <c r="P41" s="1" t="s">
        <v>433</v>
      </c>
      <c r="Q41" s="1" t="s">
        <v>42</v>
      </c>
      <c r="R41" s="1" t="s">
        <v>434</v>
      </c>
      <c r="S41" s="1" t="s">
        <v>367</v>
      </c>
      <c r="T41" s="1" t="s">
        <v>60</v>
      </c>
      <c r="U41" s="1" t="s">
        <v>435</v>
      </c>
      <c r="V41" s="1" t="s">
        <v>436</v>
      </c>
      <c r="W41" s="1" t="s">
        <v>35</v>
      </c>
      <c r="X41" s="1" t="s">
        <v>35</v>
      </c>
      <c r="Y41" s="1" t="s">
        <v>104</v>
      </c>
      <c r="Z41" s="1" t="s">
        <v>35</v>
      </c>
      <c r="AA41" s="1" t="s">
        <v>35</v>
      </c>
      <c r="AB41" s="1" t="s">
        <v>35</v>
      </c>
      <c r="AC41" s="1" t="s">
        <v>127</v>
      </c>
      <c r="AD41" s="1" t="s">
        <v>437</v>
      </c>
      <c r="AE41" s="1" t="s">
        <v>438</v>
      </c>
      <c r="AF41" s="1" t="s">
        <v>439</v>
      </c>
    </row>
    <row r="42" spans="1:32" x14ac:dyDescent="0.25">
      <c r="A42" s="1" t="s">
        <v>105</v>
      </c>
      <c r="B42" s="1" t="s">
        <v>447</v>
      </c>
      <c r="C42" s="1" t="s">
        <v>448</v>
      </c>
      <c r="D42" s="1" t="s">
        <v>449</v>
      </c>
      <c r="E42" s="2">
        <v>45734</v>
      </c>
      <c r="F42" s="2" t="s">
        <v>102</v>
      </c>
      <c r="G42" s="1" t="s">
        <v>54</v>
      </c>
      <c r="H42" s="1" t="s">
        <v>36</v>
      </c>
      <c r="I42" s="1" t="s">
        <v>37</v>
      </c>
      <c r="J42" s="1" t="s">
        <v>38</v>
      </c>
      <c r="K42" s="1" t="s">
        <v>55</v>
      </c>
      <c r="L42" s="1" t="s">
        <v>40</v>
      </c>
      <c r="M42" s="1" t="s">
        <v>222</v>
      </c>
      <c r="N42" s="1" t="s">
        <v>42</v>
      </c>
      <c r="O42" s="1" t="s">
        <v>43</v>
      </c>
      <c r="P42" s="1" t="s">
        <v>417</v>
      </c>
      <c r="Q42" s="1" t="s">
        <v>42</v>
      </c>
      <c r="R42" s="1" t="s">
        <v>450</v>
      </c>
      <c r="S42" s="1" t="s">
        <v>451</v>
      </c>
      <c r="T42" s="1" t="s">
        <v>60</v>
      </c>
      <c r="U42" s="1" t="s">
        <v>112</v>
      </c>
      <c r="V42" s="1" t="s">
        <v>452</v>
      </c>
      <c r="W42" s="1" t="s">
        <v>35</v>
      </c>
      <c r="X42" s="1" t="s">
        <v>35</v>
      </c>
      <c r="Y42" s="1" t="s">
        <v>104</v>
      </c>
      <c r="Z42" s="1" t="s">
        <v>35</v>
      </c>
      <c r="AA42" s="1" t="s">
        <v>35</v>
      </c>
      <c r="AB42" s="1" t="s">
        <v>35</v>
      </c>
      <c r="AC42" s="1" t="s">
        <v>35</v>
      </c>
      <c r="AD42" s="1" t="s">
        <v>35</v>
      </c>
      <c r="AE42" s="1" t="s">
        <v>453</v>
      </c>
      <c r="AF42" s="1" t="s">
        <v>454</v>
      </c>
    </row>
    <row r="43" spans="1:32" x14ac:dyDescent="0.25">
      <c r="A43" s="1" t="s">
        <v>65</v>
      </c>
      <c r="B43" s="1" t="s">
        <v>464</v>
      </c>
      <c r="C43" s="1" t="s">
        <v>465</v>
      </c>
      <c r="D43" s="1" t="s">
        <v>466</v>
      </c>
      <c r="E43" s="2">
        <v>45739</v>
      </c>
      <c r="F43" s="2" t="s">
        <v>102</v>
      </c>
      <c r="G43" s="1" t="s">
        <v>54</v>
      </c>
      <c r="H43" s="1" t="s">
        <v>36</v>
      </c>
      <c r="I43" s="1" t="s">
        <v>37</v>
      </c>
      <c r="J43" s="1" t="s">
        <v>38</v>
      </c>
      <c r="K43" s="1" t="s">
        <v>55</v>
      </c>
      <c r="L43" s="1" t="s">
        <v>176</v>
      </c>
      <c r="M43" s="1" t="s">
        <v>458</v>
      </c>
      <c r="N43" s="1" t="s">
        <v>42</v>
      </c>
      <c r="O43" s="1" t="s">
        <v>43</v>
      </c>
      <c r="P43" s="1" t="s">
        <v>467</v>
      </c>
      <c r="Q43" s="1" t="s">
        <v>42</v>
      </c>
      <c r="R43" s="1" t="s">
        <v>468</v>
      </c>
      <c r="S43" s="1" t="s">
        <v>469</v>
      </c>
      <c r="T43" s="1" t="s">
        <v>60</v>
      </c>
      <c r="U43" s="1" t="s">
        <v>61</v>
      </c>
      <c r="V43" s="1" t="s">
        <v>470</v>
      </c>
      <c r="W43" s="1" t="s">
        <v>35</v>
      </c>
      <c r="X43" s="1" t="s">
        <v>35</v>
      </c>
      <c r="Y43" s="1" t="s">
        <v>49</v>
      </c>
      <c r="Z43" s="1" t="s">
        <v>35</v>
      </c>
      <c r="AA43" s="1" t="s">
        <v>35</v>
      </c>
      <c r="AB43" s="1" t="s">
        <v>35</v>
      </c>
      <c r="AC43" s="1" t="s">
        <v>35</v>
      </c>
      <c r="AD43" s="1" t="s">
        <v>35</v>
      </c>
      <c r="AE43" s="1" t="s">
        <v>471</v>
      </c>
      <c r="AF43" s="1" t="s">
        <v>472</v>
      </c>
    </row>
    <row r="44" spans="1:32" x14ac:dyDescent="0.25">
      <c r="A44" s="1" t="s">
        <v>65</v>
      </c>
      <c r="B44" s="1" t="s">
        <v>455</v>
      </c>
      <c r="C44" s="1" t="s">
        <v>456</v>
      </c>
      <c r="D44" s="1" t="s">
        <v>457</v>
      </c>
      <c r="E44" s="2">
        <v>45739</v>
      </c>
      <c r="F44" s="2" t="s">
        <v>102</v>
      </c>
      <c r="G44" s="1" t="s">
        <v>54</v>
      </c>
      <c r="H44" s="1" t="s">
        <v>36</v>
      </c>
      <c r="I44" s="1" t="s">
        <v>37</v>
      </c>
      <c r="J44" s="1" t="s">
        <v>38</v>
      </c>
      <c r="K44" s="1" t="s">
        <v>55</v>
      </c>
      <c r="L44" s="1" t="s">
        <v>176</v>
      </c>
      <c r="M44" s="1" t="s">
        <v>458</v>
      </c>
      <c r="N44" s="1" t="s">
        <v>42</v>
      </c>
      <c r="O44" s="1" t="s">
        <v>43</v>
      </c>
      <c r="P44" s="1" t="s">
        <v>459</v>
      </c>
      <c r="Q44" s="1" t="s">
        <v>42</v>
      </c>
      <c r="R44" s="1" t="s">
        <v>460</v>
      </c>
      <c r="S44" s="1" t="s">
        <v>167</v>
      </c>
      <c r="T44" s="1" t="s">
        <v>60</v>
      </c>
      <c r="U44" s="1" t="s">
        <v>215</v>
      </c>
      <c r="V44" s="1" t="s">
        <v>461</v>
      </c>
      <c r="W44" s="1" t="s">
        <v>35</v>
      </c>
      <c r="X44" s="1" t="s">
        <v>35</v>
      </c>
      <c r="Y44" s="1" t="s">
        <v>49</v>
      </c>
      <c r="Z44" s="1" t="s">
        <v>35</v>
      </c>
      <c r="AA44" s="1" t="s">
        <v>35</v>
      </c>
      <c r="AB44" s="1" t="s">
        <v>35</v>
      </c>
      <c r="AC44" s="1" t="s">
        <v>35</v>
      </c>
      <c r="AD44" s="1" t="s">
        <v>35</v>
      </c>
      <c r="AE44" s="1" t="s">
        <v>462</v>
      </c>
      <c r="AF44" s="1" t="s">
        <v>463</v>
      </c>
    </row>
    <row r="45" spans="1:32" x14ac:dyDescent="0.25">
      <c r="A45" s="1" t="s">
        <v>50</v>
      </c>
      <c r="B45" s="1" t="s">
        <v>473</v>
      </c>
      <c r="C45" s="1" t="s">
        <v>474</v>
      </c>
      <c r="D45" s="1" t="s">
        <v>475</v>
      </c>
      <c r="E45" s="2">
        <v>45741</v>
      </c>
      <c r="F45" s="2" t="s">
        <v>103</v>
      </c>
      <c r="G45" s="1" t="s">
        <v>194</v>
      </c>
      <c r="H45" s="1" t="s">
        <v>36</v>
      </c>
      <c r="I45" s="1" t="s">
        <v>37</v>
      </c>
      <c r="J45" s="1" t="s">
        <v>38</v>
      </c>
      <c r="K45" s="1" t="s">
        <v>55</v>
      </c>
      <c r="L45" s="1" t="s">
        <v>242</v>
      </c>
      <c r="M45" s="1" t="s">
        <v>476</v>
      </c>
      <c r="N45" s="1" t="s">
        <v>42</v>
      </c>
      <c r="O45" s="1" t="s">
        <v>43</v>
      </c>
      <c r="P45" s="1" t="s">
        <v>212</v>
      </c>
      <c r="Q45" s="1" t="s">
        <v>42</v>
      </c>
      <c r="R45" s="1" t="s">
        <v>477</v>
      </c>
      <c r="S45" s="1" t="s">
        <v>478</v>
      </c>
      <c r="T45" s="1" t="s">
        <v>46</v>
      </c>
      <c r="U45" s="1" t="s">
        <v>61</v>
      </c>
      <c r="V45" s="1" t="s">
        <v>479</v>
      </c>
      <c r="W45" s="1" t="s">
        <v>35</v>
      </c>
      <c r="X45" s="1" t="s">
        <v>35</v>
      </c>
      <c r="Y45" s="1" t="s">
        <v>49</v>
      </c>
      <c r="Z45" s="1" t="s">
        <v>35</v>
      </c>
      <c r="AA45" s="1" t="s">
        <v>35</v>
      </c>
      <c r="AB45" s="1" t="s">
        <v>35</v>
      </c>
      <c r="AC45" s="1" t="s">
        <v>35</v>
      </c>
      <c r="AD45" s="1" t="s">
        <v>35</v>
      </c>
      <c r="AE45" s="1" t="s">
        <v>480</v>
      </c>
      <c r="AF45" s="1" t="s">
        <v>481</v>
      </c>
    </row>
    <row r="46" spans="1:32" x14ac:dyDescent="0.25">
      <c r="A46" s="1" t="s">
        <v>50</v>
      </c>
      <c r="B46" s="1" t="s">
        <v>490</v>
      </c>
      <c r="C46" s="1" t="s">
        <v>491</v>
      </c>
      <c r="D46" s="1" t="s">
        <v>492</v>
      </c>
      <c r="E46" s="2">
        <v>45748</v>
      </c>
      <c r="F46" s="2" t="s">
        <v>102</v>
      </c>
      <c r="G46" s="1" t="s">
        <v>302</v>
      </c>
      <c r="H46" s="1" t="s">
        <v>36</v>
      </c>
      <c r="I46" s="1" t="s">
        <v>37</v>
      </c>
      <c r="J46" s="1" t="s">
        <v>38</v>
      </c>
      <c r="K46" s="1" t="s">
        <v>55</v>
      </c>
      <c r="L46" s="1" t="s">
        <v>242</v>
      </c>
      <c r="M46" s="1" t="s">
        <v>119</v>
      </c>
      <c r="N46" s="1" t="s">
        <v>42</v>
      </c>
      <c r="O46" s="1" t="s">
        <v>43</v>
      </c>
      <c r="P46" s="1" t="s">
        <v>493</v>
      </c>
      <c r="Q46" s="1" t="s">
        <v>42</v>
      </c>
      <c r="R46" s="1" t="s">
        <v>494</v>
      </c>
      <c r="S46" s="1" t="s">
        <v>111</v>
      </c>
      <c r="T46" s="1" t="s">
        <v>60</v>
      </c>
      <c r="U46" s="1" t="s">
        <v>61</v>
      </c>
      <c r="V46" s="1" t="s">
        <v>495</v>
      </c>
      <c r="W46" s="1" t="s">
        <v>35</v>
      </c>
      <c r="X46" s="1" t="s">
        <v>35</v>
      </c>
      <c r="Y46" s="1" t="s">
        <v>49</v>
      </c>
      <c r="Z46" s="1" t="s">
        <v>35</v>
      </c>
      <c r="AA46" s="1" t="s">
        <v>35</v>
      </c>
      <c r="AB46" s="1" t="s">
        <v>35</v>
      </c>
      <c r="AC46" s="1" t="s">
        <v>35</v>
      </c>
      <c r="AD46" s="1" t="s">
        <v>35</v>
      </c>
      <c r="AE46" s="1" t="s">
        <v>496</v>
      </c>
      <c r="AF46" s="1" t="s">
        <v>497</v>
      </c>
    </row>
    <row r="47" spans="1:32" x14ac:dyDescent="0.25">
      <c r="A47" s="1" t="s">
        <v>105</v>
      </c>
      <c r="B47" s="1" t="s">
        <v>482</v>
      </c>
      <c r="C47" s="1" t="s">
        <v>483</v>
      </c>
      <c r="D47" s="1" t="s">
        <v>484</v>
      </c>
      <c r="E47" s="2">
        <v>45748</v>
      </c>
      <c r="F47" s="2" t="s">
        <v>151</v>
      </c>
      <c r="G47" s="2" t="s">
        <v>102</v>
      </c>
      <c r="H47" s="1" t="s">
        <v>36</v>
      </c>
      <c r="I47" s="1" t="s">
        <v>37</v>
      </c>
      <c r="J47" s="1" t="s">
        <v>38</v>
      </c>
      <c r="K47" s="1" t="s">
        <v>55</v>
      </c>
      <c r="L47" s="1" t="s">
        <v>485</v>
      </c>
      <c r="M47" s="1" t="s">
        <v>309</v>
      </c>
      <c r="N47" s="1" t="s">
        <v>42</v>
      </c>
      <c r="O47" s="1" t="s">
        <v>43</v>
      </c>
      <c r="P47" s="1" t="s">
        <v>195</v>
      </c>
      <c r="Q47" s="1" t="s">
        <v>42</v>
      </c>
      <c r="R47" s="1" t="s">
        <v>486</v>
      </c>
      <c r="S47" s="1" t="s">
        <v>122</v>
      </c>
      <c r="T47" s="1" t="s">
        <v>60</v>
      </c>
      <c r="U47" s="1" t="s">
        <v>112</v>
      </c>
      <c r="V47" s="1" t="s">
        <v>487</v>
      </c>
      <c r="W47" s="1" t="s">
        <v>35</v>
      </c>
      <c r="X47" s="1" t="s">
        <v>35</v>
      </c>
      <c r="Y47" s="1" t="s">
        <v>49</v>
      </c>
      <c r="Z47" s="1" t="s">
        <v>35</v>
      </c>
      <c r="AA47" s="1" t="s">
        <v>35</v>
      </c>
      <c r="AB47" s="1" t="s">
        <v>35</v>
      </c>
      <c r="AC47" s="1" t="s">
        <v>35</v>
      </c>
      <c r="AD47" s="1" t="s">
        <v>35</v>
      </c>
      <c r="AE47" s="1" t="s">
        <v>488</v>
      </c>
      <c r="AF47" s="1" t="s">
        <v>489</v>
      </c>
    </row>
    <row r="48" spans="1:32" x14ac:dyDescent="0.25">
      <c r="A48" s="1" t="s">
        <v>50</v>
      </c>
      <c r="B48" s="1" t="s">
        <v>498</v>
      </c>
      <c r="C48" s="1" t="s">
        <v>499</v>
      </c>
      <c r="D48" s="1" t="s">
        <v>500</v>
      </c>
      <c r="E48" s="2">
        <v>45749</v>
      </c>
      <c r="F48" s="2" t="s">
        <v>102</v>
      </c>
      <c r="G48" s="1" t="s">
        <v>194</v>
      </c>
      <c r="H48" s="1" t="s">
        <v>36</v>
      </c>
      <c r="I48" s="1" t="s">
        <v>37</v>
      </c>
      <c r="J48" s="1" t="s">
        <v>38</v>
      </c>
      <c r="K48" s="1" t="s">
        <v>55</v>
      </c>
      <c r="L48" s="1" t="s">
        <v>242</v>
      </c>
      <c r="M48" s="1" t="s">
        <v>119</v>
      </c>
      <c r="N48" s="1" t="s">
        <v>42</v>
      </c>
      <c r="O48" s="1" t="s">
        <v>43</v>
      </c>
      <c r="P48" s="1" t="s">
        <v>493</v>
      </c>
      <c r="Q48" s="1" t="s">
        <v>42</v>
      </c>
      <c r="R48" s="1" t="s">
        <v>501</v>
      </c>
      <c r="S48" s="1" t="s">
        <v>502</v>
      </c>
      <c r="T48" s="1" t="s">
        <v>60</v>
      </c>
      <c r="U48" s="1" t="s">
        <v>61</v>
      </c>
      <c r="V48" s="1">
        <v>500917554</v>
      </c>
      <c r="W48" s="1" t="s">
        <v>35</v>
      </c>
      <c r="X48" s="1" t="s">
        <v>35</v>
      </c>
      <c r="Y48" s="1" t="s">
        <v>49</v>
      </c>
      <c r="Z48" s="1" t="s">
        <v>35</v>
      </c>
      <c r="AA48" s="1" t="s">
        <v>35</v>
      </c>
      <c r="AB48" s="1" t="s">
        <v>35</v>
      </c>
      <c r="AC48" s="1" t="s">
        <v>127</v>
      </c>
      <c r="AD48" s="1" t="s">
        <v>503</v>
      </c>
      <c r="AE48" s="1" t="s">
        <v>504</v>
      </c>
      <c r="AF48" s="1" t="s">
        <v>505</v>
      </c>
    </row>
    <row r="49" spans="1:32" x14ac:dyDescent="0.25">
      <c r="A49" s="1" t="s">
        <v>50</v>
      </c>
      <c r="B49" s="1" t="s">
        <v>506</v>
      </c>
      <c r="C49" s="1" t="s">
        <v>507</v>
      </c>
      <c r="D49" s="1" t="s">
        <v>508</v>
      </c>
      <c r="E49" s="2">
        <v>45750</v>
      </c>
      <c r="F49" s="2" t="s">
        <v>103</v>
      </c>
      <c r="G49" s="1" t="s">
        <v>302</v>
      </c>
      <c r="H49" s="1" t="s">
        <v>36</v>
      </c>
      <c r="I49" s="1" t="s">
        <v>37</v>
      </c>
      <c r="J49" s="1" t="s">
        <v>38</v>
      </c>
      <c r="K49" s="1" t="s">
        <v>55</v>
      </c>
      <c r="L49" s="1" t="s">
        <v>242</v>
      </c>
      <c r="M49" s="1" t="s">
        <v>70</v>
      </c>
      <c r="N49" s="1" t="s">
        <v>42</v>
      </c>
      <c r="O49" s="1" t="s">
        <v>43</v>
      </c>
      <c r="P49" s="1" t="s">
        <v>70</v>
      </c>
      <c r="Q49" s="1" t="s">
        <v>42</v>
      </c>
      <c r="R49" s="1" t="s">
        <v>509</v>
      </c>
      <c r="S49" s="1" t="s">
        <v>510</v>
      </c>
      <c r="T49" s="1" t="s">
        <v>46</v>
      </c>
      <c r="U49" s="1" t="s">
        <v>61</v>
      </c>
      <c r="V49" s="1" t="s">
        <v>511</v>
      </c>
      <c r="W49" s="1" t="s">
        <v>35</v>
      </c>
      <c r="X49" s="1" t="s">
        <v>35</v>
      </c>
      <c r="Y49" s="1" t="s">
        <v>49</v>
      </c>
      <c r="Z49" s="1" t="s">
        <v>35</v>
      </c>
      <c r="AA49" s="1" t="s">
        <v>35</v>
      </c>
      <c r="AB49" s="1" t="s">
        <v>35</v>
      </c>
      <c r="AC49" s="1" t="s">
        <v>35</v>
      </c>
      <c r="AD49" s="1" t="s">
        <v>35</v>
      </c>
      <c r="AE49" s="1" t="s">
        <v>512</v>
      </c>
      <c r="AF49" s="1" t="s">
        <v>513</v>
      </c>
    </row>
    <row r="50" spans="1:32" x14ac:dyDescent="0.25">
      <c r="A50" s="1" t="s">
        <v>50</v>
      </c>
      <c r="B50" s="1" t="s">
        <v>514</v>
      </c>
      <c r="C50" s="1" t="s">
        <v>515</v>
      </c>
      <c r="D50" s="1" t="s">
        <v>516</v>
      </c>
      <c r="E50" s="2">
        <v>45752</v>
      </c>
      <c r="F50" s="2" t="s">
        <v>103</v>
      </c>
      <c r="G50" s="1" t="s">
        <v>302</v>
      </c>
      <c r="H50" s="1" t="s">
        <v>36</v>
      </c>
      <c r="I50" s="1" t="s">
        <v>37</v>
      </c>
      <c r="J50" s="1" t="s">
        <v>38</v>
      </c>
      <c r="K50" s="1" t="s">
        <v>55</v>
      </c>
      <c r="L50" s="1" t="s">
        <v>242</v>
      </c>
      <c r="M50" s="1" t="s">
        <v>119</v>
      </c>
      <c r="N50" s="1" t="s">
        <v>42</v>
      </c>
      <c r="O50" s="1" t="s">
        <v>43</v>
      </c>
      <c r="P50" s="1" t="s">
        <v>119</v>
      </c>
      <c r="Q50" s="1" t="s">
        <v>42</v>
      </c>
      <c r="R50" s="1" t="s">
        <v>517</v>
      </c>
      <c r="S50" s="1" t="s">
        <v>45</v>
      </c>
      <c r="T50" s="1" t="s">
        <v>60</v>
      </c>
      <c r="U50" s="1" t="s">
        <v>145</v>
      </c>
      <c r="V50" s="1" t="s">
        <v>518</v>
      </c>
      <c r="W50" s="1" t="s">
        <v>35</v>
      </c>
      <c r="X50" s="1" t="s">
        <v>35</v>
      </c>
      <c r="Y50" s="1" t="s">
        <v>49</v>
      </c>
      <c r="Z50" s="1" t="s">
        <v>35</v>
      </c>
      <c r="AA50" s="1" t="s">
        <v>35</v>
      </c>
      <c r="AB50" s="1" t="s">
        <v>35</v>
      </c>
      <c r="AC50" s="1" t="s">
        <v>35</v>
      </c>
      <c r="AD50" s="1" t="s">
        <v>35</v>
      </c>
      <c r="AE50" s="1" t="s">
        <v>519</v>
      </c>
      <c r="AF50" s="1" t="s">
        <v>520</v>
      </c>
    </row>
    <row r="51" spans="1:32" x14ac:dyDescent="0.25">
      <c r="A51" s="1" t="s">
        <v>31</v>
      </c>
      <c r="B51" s="1" t="s">
        <v>543</v>
      </c>
      <c r="C51" s="1" t="s">
        <v>544</v>
      </c>
      <c r="D51" s="1" t="s">
        <v>545</v>
      </c>
      <c r="E51" s="24">
        <v>45754</v>
      </c>
      <c r="F51" s="2" t="s">
        <v>103</v>
      </c>
      <c r="G51" s="1" t="s">
        <v>54</v>
      </c>
      <c r="H51" s="1" t="s">
        <v>36</v>
      </c>
      <c r="I51" s="1" t="s">
        <v>37</v>
      </c>
      <c r="J51" s="1" t="s">
        <v>38</v>
      </c>
      <c r="K51" s="1" t="s">
        <v>55</v>
      </c>
      <c r="L51" s="1" t="s">
        <v>40</v>
      </c>
      <c r="M51" s="1" t="s">
        <v>56</v>
      </c>
      <c r="N51" s="1" t="s">
        <v>42</v>
      </c>
      <c r="O51" s="1" t="s">
        <v>43</v>
      </c>
      <c r="P51" s="1" t="s">
        <v>212</v>
      </c>
      <c r="Q51" s="1" t="s">
        <v>42</v>
      </c>
      <c r="R51" s="1" t="s">
        <v>546</v>
      </c>
      <c r="S51" s="1" t="s">
        <v>547</v>
      </c>
      <c r="T51" s="1" t="s">
        <v>60</v>
      </c>
      <c r="U51" s="1" t="s">
        <v>61</v>
      </c>
      <c r="V51" s="1" t="s">
        <v>548</v>
      </c>
      <c r="W51" s="1" t="s">
        <v>35</v>
      </c>
      <c r="X51" s="1" t="s">
        <v>35</v>
      </c>
      <c r="Y51" s="1" t="s">
        <v>49</v>
      </c>
      <c r="Z51" s="1" t="s">
        <v>35</v>
      </c>
      <c r="AA51" s="1" t="s">
        <v>35</v>
      </c>
      <c r="AB51" s="1" t="s">
        <v>35</v>
      </c>
      <c r="AC51" s="1" t="s">
        <v>35</v>
      </c>
      <c r="AD51" s="1" t="s">
        <v>35</v>
      </c>
      <c r="AE51" s="1" t="s">
        <v>549</v>
      </c>
      <c r="AF51" s="1" t="s">
        <v>550</v>
      </c>
    </row>
    <row r="52" spans="1:32" x14ac:dyDescent="0.25">
      <c r="A52" s="1" t="s">
        <v>65</v>
      </c>
      <c r="B52" s="1" t="s">
        <v>535</v>
      </c>
      <c r="C52" s="1" t="s">
        <v>536</v>
      </c>
      <c r="D52" s="1" t="s">
        <v>537</v>
      </c>
      <c r="E52" s="24">
        <v>45754</v>
      </c>
      <c r="F52" s="2" t="s">
        <v>102</v>
      </c>
      <c r="G52" s="1" t="s">
        <v>54</v>
      </c>
      <c r="H52" s="1" t="s">
        <v>36</v>
      </c>
      <c r="I52" s="1" t="s">
        <v>37</v>
      </c>
      <c r="J52" s="1" t="s">
        <v>38</v>
      </c>
      <c r="K52" s="1" t="s">
        <v>55</v>
      </c>
      <c r="L52" s="1" t="s">
        <v>40</v>
      </c>
      <c r="M52" s="1" t="s">
        <v>56</v>
      </c>
      <c r="N52" s="1" t="s">
        <v>42</v>
      </c>
      <c r="O52" s="1" t="s">
        <v>43</v>
      </c>
      <c r="P52" s="1" t="s">
        <v>87</v>
      </c>
      <c r="Q52" s="1" t="s">
        <v>42</v>
      </c>
      <c r="R52" s="1" t="s">
        <v>538</v>
      </c>
      <c r="S52" s="1" t="s">
        <v>539</v>
      </c>
      <c r="T52" s="1" t="s">
        <v>60</v>
      </c>
      <c r="U52" s="1" t="s">
        <v>61</v>
      </c>
      <c r="V52" s="1" t="s">
        <v>540</v>
      </c>
      <c r="W52" s="1" t="s">
        <v>35</v>
      </c>
      <c r="X52" s="1" t="s">
        <v>35</v>
      </c>
      <c r="Y52" s="1" t="s">
        <v>49</v>
      </c>
      <c r="Z52" s="1" t="s">
        <v>35</v>
      </c>
      <c r="AA52" s="1" t="s">
        <v>35</v>
      </c>
      <c r="AB52" s="1" t="s">
        <v>35</v>
      </c>
      <c r="AC52" s="1" t="s">
        <v>35</v>
      </c>
      <c r="AD52" s="1" t="s">
        <v>35</v>
      </c>
      <c r="AE52" s="1" t="s">
        <v>541</v>
      </c>
      <c r="AF52" s="1" t="s">
        <v>542</v>
      </c>
    </row>
    <row r="53" spans="1:32" x14ac:dyDescent="0.25">
      <c r="A53" s="1" t="s">
        <v>50</v>
      </c>
      <c r="B53" s="1" t="s">
        <v>527</v>
      </c>
      <c r="C53" s="1" t="s">
        <v>528</v>
      </c>
      <c r="D53" s="1" t="s">
        <v>529</v>
      </c>
      <c r="E53" s="24">
        <v>45754</v>
      </c>
      <c r="F53" s="2" t="s">
        <v>103</v>
      </c>
      <c r="G53" s="1" t="s">
        <v>54</v>
      </c>
      <c r="H53" s="1" t="s">
        <v>36</v>
      </c>
      <c r="I53" s="1" t="s">
        <v>37</v>
      </c>
      <c r="J53" s="1" t="s">
        <v>38</v>
      </c>
      <c r="K53" s="1" t="s">
        <v>55</v>
      </c>
      <c r="L53" s="1" t="s">
        <v>40</v>
      </c>
      <c r="M53" s="1" t="s">
        <v>56</v>
      </c>
      <c r="N53" s="1" t="s">
        <v>42</v>
      </c>
      <c r="O53" s="1" t="s">
        <v>43</v>
      </c>
      <c r="P53" s="1" t="s">
        <v>530</v>
      </c>
      <c r="Q53" s="1" t="s">
        <v>42</v>
      </c>
      <c r="R53" s="1" t="s">
        <v>531</v>
      </c>
      <c r="S53" s="1" t="s">
        <v>80</v>
      </c>
      <c r="T53" s="1" t="s">
        <v>46</v>
      </c>
      <c r="U53" s="1" t="s">
        <v>81</v>
      </c>
      <c r="V53" s="1" t="s">
        <v>532</v>
      </c>
      <c r="W53" s="1" t="s">
        <v>35</v>
      </c>
      <c r="X53" s="1" t="s">
        <v>35</v>
      </c>
      <c r="Y53" s="1" t="s">
        <v>49</v>
      </c>
      <c r="Z53" s="1" t="s">
        <v>35</v>
      </c>
      <c r="AA53" s="1" t="s">
        <v>35</v>
      </c>
      <c r="AB53" s="1" t="s">
        <v>35</v>
      </c>
      <c r="AC53" s="1" t="s">
        <v>35</v>
      </c>
      <c r="AD53" s="1" t="s">
        <v>35</v>
      </c>
      <c r="AE53" s="1" t="s">
        <v>533</v>
      </c>
      <c r="AF53" s="1" t="s">
        <v>534</v>
      </c>
    </row>
    <row r="54" spans="1:32" x14ac:dyDescent="0.25">
      <c r="A54" s="1" t="s">
        <v>65</v>
      </c>
      <c r="B54" s="1" t="s">
        <v>521</v>
      </c>
      <c r="C54" s="1" t="s">
        <v>522</v>
      </c>
      <c r="D54" s="1" t="s">
        <v>523</v>
      </c>
      <c r="E54" s="24">
        <v>45754</v>
      </c>
      <c r="F54" s="2" t="s">
        <v>103</v>
      </c>
      <c r="G54" s="1" t="s">
        <v>54</v>
      </c>
      <c r="H54" s="1" t="s">
        <v>36</v>
      </c>
      <c r="I54" s="1" t="s">
        <v>37</v>
      </c>
      <c r="J54" s="1" t="s">
        <v>38</v>
      </c>
      <c r="K54" s="1" t="s">
        <v>55</v>
      </c>
      <c r="L54" s="1" t="s">
        <v>40</v>
      </c>
      <c r="M54" s="1" t="s">
        <v>56</v>
      </c>
      <c r="N54" s="1" t="s">
        <v>42</v>
      </c>
      <c r="O54" s="1" t="s">
        <v>43</v>
      </c>
      <c r="P54" s="1" t="s">
        <v>158</v>
      </c>
      <c r="Q54" s="1" t="s">
        <v>42</v>
      </c>
      <c r="R54" s="1" t="s">
        <v>88</v>
      </c>
      <c r="S54" s="1" t="s">
        <v>80</v>
      </c>
      <c r="T54" s="1" t="s">
        <v>46</v>
      </c>
      <c r="U54" s="1" t="s">
        <v>81</v>
      </c>
      <c r="V54" s="1" t="s">
        <v>524</v>
      </c>
      <c r="W54" s="1" t="s">
        <v>35</v>
      </c>
      <c r="X54" s="1" t="s">
        <v>35</v>
      </c>
      <c r="Y54" s="1" t="s">
        <v>49</v>
      </c>
      <c r="Z54" s="1" t="s">
        <v>35</v>
      </c>
      <c r="AA54" s="1" t="s">
        <v>35</v>
      </c>
      <c r="AB54" s="1" t="s">
        <v>35</v>
      </c>
      <c r="AC54" s="1" t="s">
        <v>35</v>
      </c>
      <c r="AD54" s="1" t="s">
        <v>35</v>
      </c>
      <c r="AE54" s="1" t="s">
        <v>525</v>
      </c>
      <c r="AF54" s="1" t="s">
        <v>526</v>
      </c>
    </row>
    <row r="55" spans="1:32" x14ac:dyDescent="0.25">
      <c r="A55" s="1" t="s">
        <v>50</v>
      </c>
      <c r="B55" s="1" t="s">
        <v>559</v>
      </c>
      <c r="C55" s="1" t="s">
        <v>560</v>
      </c>
      <c r="D55" s="1" t="s">
        <v>561</v>
      </c>
      <c r="E55" s="24">
        <v>45755</v>
      </c>
      <c r="F55" s="2" t="s">
        <v>102</v>
      </c>
      <c r="G55" s="1" t="s">
        <v>302</v>
      </c>
      <c r="H55" s="1" t="s">
        <v>36</v>
      </c>
      <c r="I55" s="1" t="s">
        <v>37</v>
      </c>
      <c r="J55" s="1" t="s">
        <v>38</v>
      </c>
      <c r="K55" s="1" t="s">
        <v>55</v>
      </c>
      <c r="L55" s="1" t="s">
        <v>40</v>
      </c>
      <c r="M55" s="1" t="s">
        <v>56</v>
      </c>
      <c r="N55" s="1" t="s">
        <v>42</v>
      </c>
      <c r="O55" s="1" t="s">
        <v>43</v>
      </c>
      <c r="P55" s="1" t="s">
        <v>120</v>
      </c>
      <c r="Q55" s="1" t="s">
        <v>42</v>
      </c>
      <c r="R55" s="1" t="s">
        <v>374</v>
      </c>
      <c r="S55" s="1" t="s">
        <v>89</v>
      </c>
      <c r="T55" s="1" t="s">
        <v>60</v>
      </c>
      <c r="U55" s="1" t="s">
        <v>215</v>
      </c>
      <c r="V55" s="1" t="s">
        <v>562</v>
      </c>
      <c r="W55" s="1" t="s">
        <v>35</v>
      </c>
      <c r="X55" s="1" t="s">
        <v>35</v>
      </c>
      <c r="Y55" s="1" t="s">
        <v>49</v>
      </c>
      <c r="Z55" s="1" t="s">
        <v>35</v>
      </c>
      <c r="AA55" s="1" t="s">
        <v>35</v>
      </c>
      <c r="AB55" s="1" t="s">
        <v>35</v>
      </c>
      <c r="AC55" s="1" t="s">
        <v>35</v>
      </c>
      <c r="AD55" s="1" t="s">
        <v>35</v>
      </c>
      <c r="AE55" s="1" t="s">
        <v>563</v>
      </c>
      <c r="AF55" s="1" t="s">
        <v>564</v>
      </c>
    </row>
    <row r="56" spans="1:32" x14ac:dyDescent="0.25">
      <c r="A56" s="1" t="s">
        <v>105</v>
      </c>
      <c r="B56" s="1" t="s">
        <v>551</v>
      </c>
      <c r="C56" s="1" t="s">
        <v>552</v>
      </c>
      <c r="D56" s="1" t="s">
        <v>553</v>
      </c>
      <c r="E56" s="24">
        <v>45755</v>
      </c>
      <c r="F56" s="2" t="s">
        <v>151</v>
      </c>
      <c r="G56" s="1" t="s">
        <v>102</v>
      </c>
      <c r="H56" s="1" t="s">
        <v>36</v>
      </c>
      <c r="I56" s="1" t="s">
        <v>37</v>
      </c>
      <c r="J56" s="1" t="s">
        <v>38</v>
      </c>
      <c r="K56" s="1" t="s">
        <v>55</v>
      </c>
      <c r="L56" s="1" t="s">
        <v>176</v>
      </c>
      <c r="M56" s="1" t="s">
        <v>56</v>
      </c>
      <c r="N56" s="1" t="s">
        <v>42</v>
      </c>
      <c r="O56" s="1" t="s">
        <v>43</v>
      </c>
      <c r="P56" s="1" t="s">
        <v>195</v>
      </c>
      <c r="Q56" s="1" t="s">
        <v>42</v>
      </c>
      <c r="R56" s="1" t="s">
        <v>554</v>
      </c>
      <c r="S56" s="1" t="s">
        <v>555</v>
      </c>
      <c r="T56" s="1" t="s">
        <v>60</v>
      </c>
      <c r="U56" s="1" t="s">
        <v>112</v>
      </c>
      <c r="V56" s="1" t="s">
        <v>556</v>
      </c>
      <c r="W56" s="1" t="s">
        <v>35</v>
      </c>
      <c r="X56" s="1" t="s">
        <v>35</v>
      </c>
      <c r="Y56" s="1" t="s">
        <v>49</v>
      </c>
      <c r="Z56" s="1" t="s">
        <v>35</v>
      </c>
      <c r="AA56" s="1" t="s">
        <v>35</v>
      </c>
      <c r="AB56" s="1" t="s">
        <v>35</v>
      </c>
      <c r="AC56" s="1" t="s">
        <v>35</v>
      </c>
      <c r="AD56" s="1" t="s">
        <v>35</v>
      </c>
      <c r="AE56" s="1" t="s">
        <v>557</v>
      </c>
      <c r="AF56" s="1" t="s">
        <v>558</v>
      </c>
    </row>
    <row r="57" spans="1:32" x14ac:dyDescent="0.25">
      <c r="A57" s="1" t="s">
        <v>105</v>
      </c>
      <c r="B57" s="1" t="s">
        <v>582</v>
      </c>
      <c r="C57" s="1" t="s">
        <v>583</v>
      </c>
      <c r="D57" s="1" t="s">
        <v>584</v>
      </c>
      <c r="E57" s="24">
        <v>45756</v>
      </c>
      <c r="F57" s="2" t="s">
        <v>103</v>
      </c>
      <c r="G57" s="1" t="s">
        <v>54</v>
      </c>
      <c r="H57" s="1" t="s">
        <v>36</v>
      </c>
      <c r="I57" s="1" t="s">
        <v>37</v>
      </c>
      <c r="J57" s="1" t="s">
        <v>38</v>
      </c>
      <c r="K57" s="1" t="s">
        <v>55</v>
      </c>
      <c r="L57" s="1" t="s">
        <v>242</v>
      </c>
      <c r="M57" s="1" t="s">
        <v>222</v>
      </c>
      <c r="N57" s="1" t="s">
        <v>42</v>
      </c>
      <c r="O57" s="1" t="s">
        <v>43</v>
      </c>
      <c r="P57" s="1" t="s">
        <v>417</v>
      </c>
      <c r="Q57" s="1" t="s">
        <v>42</v>
      </c>
      <c r="R57" s="1" t="s">
        <v>585</v>
      </c>
      <c r="S57" s="1" t="s">
        <v>586</v>
      </c>
      <c r="T57" s="1" t="s">
        <v>60</v>
      </c>
      <c r="U57" s="1" t="s">
        <v>112</v>
      </c>
      <c r="V57" s="1">
        <v>565566265</v>
      </c>
      <c r="W57" s="1" t="s">
        <v>35</v>
      </c>
      <c r="X57" s="1" t="s">
        <v>35</v>
      </c>
      <c r="Y57" s="1" t="s">
        <v>49</v>
      </c>
      <c r="Z57" s="1" t="s">
        <v>35</v>
      </c>
      <c r="AA57" s="1" t="s">
        <v>35</v>
      </c>
      <c r="AB57" s="1" t="s">
        <v>35</v>
      </c>
      <c r="AC57" s="1" t="s">
        <v>587</v>
      </c>
      <c r="AD57" s="1" t="s">
        <v>588</v>
      </c>
      <c r="AE57" s="1" t="s">
        <v>589</v>
      </c>
      <c r="AF57" s="1" t="s">
        <v>590</v>
      </c>
    </row>
    <row r="58" spans="1:32" x14ac:dyDescent="0.25">
      <c r="A58" s="1" t="s">
        <v>50</v>
      </c>
      <c r="B58" s="1" t="s">
        <v>573</v>
      </c>
      <c r="C58" s="1" t="s">
        <v>574</v>
      </c>
      <c r="D58" s="1" t="s">
        <v>575</v>
      </c>
      <c r="E58" s="24">
        <v>45756</v>
      </c>
      <c r="F58" s="2" t="s">
        <v>102</v>
      </c>
      <c r="G58" s="1" t="s">
        <v>302</v>
      </c>
      <c r="H58" s="1" t="s">
        <v>36</v>
      </c>
      <c r="I58" s="1" t="s">
        <v>37</v>
      </c>
      <c r="J58" s="1" t="s">
        <v>38</v>
      </c>
      <c r="K58" s="1" t="s">
        <v>55</v>
      </c>
      <c r="L58" s="1" t="s">
        <v>176</v>
      </c>
      <c r="M58" s="1" t="s">
        <v>56</v>
      </c>
      <c r="N58" s="1" t="s">
        <v>42</v>
      </c>
      <c r="O58" s="1" t="s">
        <v>43</v>
      </c>
      <c r="P58" s="1" t="s">
        <v>576</v>
      </c>
      <c r="Q58" s="1" t="s">
        <v>42</v>
      </c>
      <c r="R58" s="1" t="s">
        <v>577</v>
      </c>
      <c r="S58" s="1" t="s">
        <v>578</v>
      </c>
      <c r="T58" s="1" t="s">
        <v>46</v>
      </c>
      <c r="U58" s="1" t="s">
        <v>61</v>
      </c>
      <c r="V58" s="1" t="s">
        <v>579</v>
      </c>
      <c r="W58" s="1" t="s">
        <v>35</v>
      </c>
      <c r="X58" s="1" t="s">
        <v>35</v>
      </c>
      <c r="Y58" s="1" t="s">
        <v>49</v>
      </c>
      <c r="Z58" s="1" t="s">
        <v>35</v>
      </c>
      <c r="AA58" s="1" t="s">
        <v>35</v>
      </c>
      <c r="AB58" s="1" t="s">
        <v>35</v>
      </c>
      <c r="AC58" s="1" t="s">
        <v>35</v>
      </c>
      <c r="AD58" s="1" t="s">
        <v>35</v>
      </c>
      <c r="AE58" s="1" t="s">
        <v>580</v>
      </c>
      <c r="AF58" s="1" t="s">
        <v>581</v>
      </c>
    </row>
    <row r="59" spans="1:32" x14ac:dyDescent="0.25">
      <c r="A59" s="1" t="s">
        <v>65</v>
      </c>
      <c r="B59" s="1" t="s">
        <v>565</v>
      </c>
      <c r="C59" s="1" t="s">
        <v>566</v>
      </c>
      <c r="D59" s="1" t="s">
        <v>567</v>
      </c>
      <c r="E59" s="24">
        <v>45756</v>
      </c>
      <c r="F59" s="2" t="s">
        <v>102</v>
      </c>
      <c r="G59" s="1" t="s">
        <v>54</v>
      </c>
      <c r="H59" s="1" t="s">
        <v>36</v>
      </c>
      <c r="I59" s="1" t="s">
        <v>37</v>
      </c>
      <c r="J59" s="1" t="s">
        <v>38</v>
      </c>
      <c r="K59" s="1" t="s">
        <v>55</v>
      </c>
      <c r="L59" s="1" t="s">
        <v>176</v>
      </c>
      <c r="M59" s="1" t="s">
        <v>56</v>
      </c>
      <c r="N59" s="1" t="s">
        <v>42</v>
      </c>
      <c r="O59" s="1" t="s">
        <v>43</v>
      </c>
      <c r="P59" s="1" t="s">
        <v>212</v>
      </c>
      <c r="Q59" s="1" t="s">
        <v>42</v>
      </c>
      <c r="R59" s="1" t="s">
        <v>568</v>
      </c>
      <c r="S59" s="1" t="s">
        <v>569</v>
      </c>
      <c r="T59" s="1" t="s">
        <v>60</v>
      </c>
      <c r="U59" s="1" t="s">
        <v>61</v>
      </c>
      <c r="V59" s="1" t="s">
        <v>570</v>
      </c>
      <c r="W59" s="1" t="s">
        <v>35</v>
      </c>
      <c r="X59" s="1" t="s">
        <v>35</v>
      </c>
      <c r="Y59" s="1" t="s">
        <v>49</v>
      </c>
      <c r="Z59" s="1" t="s">
        <v>35</v>
      </c>
      <c r="AA59" s="1" t="s">
        <v>35</v>
      </c>
      <c r="AB59" s="1" t="s">
        <v>35</v>
      </c>
      <c r="AC59" s="1" t="s">
        <v>35</v>
      </c>
      <c r="AD59" s="1" t="s">
        <v>35</v>
      </c>
      <c r="AE59" s="1" t="s">
        <v>571</v>
      </c>
      <c r="AF59" s="1" t="s">
        <v>572</v>
      </c>
    </row>
    <row r="60" spans="1:32" x14ac:dyDescent="0.25">
      <c r="A60" s="1" t="s">
        <v>50</v>
      </c>
      <c r="B60" s="1" t="s">
        <v>591</v>
      </c>
      <c r="C60" s="1" t="s">
        <v>592</v>
      </c>
      <c r="D60" s="1" t="s">
        <v>593</v>
      </c>
      <c r="E60" s="24">
        <v>45757</v>
      </c>
      <c r="F60" s="2" t="s">
        <v>103</v>
      </c>
      <c r="G60" s="1" t="s">
        <v>54</v>
      </c>
      <c r="H60" s="1" t="s">
        <v>36</v>
      </c>
      <c r="I60" s="1" t="s">
        <v>37</v>
      </c>
      <c r="J60" s="1" t="s">
        <v>432</v>
      </c>
      <c r="K60" s="1" t="s">
        <v>55</v>
      </c>
      <c r="L60" s="1" t="s">
        <v>176</v>
      </c>
      <c r="M60" s="1" t="s">
        <v>222</v>
      </c>
      <c r="N60" s="1" t="s">
        <v>42</v>
      </c>
      <c r="O60" s="1" t="s">
        <v>43</v>
      </c>
      <c r="P60" s="1" t="s">
        <v>223</v>
      </c>
      <c r="Q60" s="1" t="s">
        <v>42</v>
      </c>
      <c r="R60" s="1" t="s">
        <v>594</v>
      </c>
      <c r="S60" s="1" t="s">
        <v>555</v>
      </c>
      <c r="T60" s="1" t="s">
        <v>60</v>
      </c>
      <c r="U60" s="1" t="s">
        <v>81</v>
      </c>
      <c r="V60" s="1">
        <v>555313552</v>
      </c>
      <c r="W60" s="1" t="s">
        <v>35</v>
      </c>
      <c r="X60" s="1" t="s">
        <v>35</v>
      </c>
      <c r="Y60" s="1" t="s">
        <v>49</v>
      </c>
      <c r="Z60" s="1" t="s">
        <v>35</v>
      </c>
      <c r="AA60" s="1" t="s">
        <v>35</v>
      </c>
      <c r="AB60" s="1" t="s">
        <v>35</v>
      </c>
      <c r="AC60" s="1" t="s">
        <v>35</v>
      </c>
      <c r="AD60" s="1" t="s">
        <v>35</v>
      </c>
      <c r="AE60" s="1" t="s">
        <v>595</v>
      </c>
      <c r="AF60" s="1" t="s">
        <v>596</v>
      </c>
    </row>
    <row r="61" spans="1:32" x14ac:dyDescent="0.25">
      <c r="A61" s="1" t="s">
        <v>50</v>
      </c>
      <c r="B61" s="1" t="s">
        <v>597</v>
      </c>
      <c r="C61" s="1" t="s">
        <v>598</v>
      </c>
      <c r="D61" s="1" t="s">
        <v>599</v>
      </c>
      <c r="E61" s="24">
        <v>45757</v>
      </c>
      <c r="F61" s="2" t="s">
        <v>103</v>
      </c>
      <c r="G61" s="1" t="s">
        <v>194</v>
      </c>
      <c r="H61" s="1" t="s">
        <v>36</v>
      </c>
      <c r="I61" s="1" t="s">
        <v>37</v>
      </c>
      <c r="J61" s="1" t="s">
        <v>38</v>
      </c>
      <c r="K61" s="1" t="s">
        <v>55</v>
      </c>
      <c r="L61" s="1" t="s">
        <v>69</v>
      </c>
      <c r="M61" s="1" t="s">
        <v>458</v>
      </c>
      <c r="N61" s="1" t="s">
        <v>42</v>
      </c>
      <c r="O61" s="1" t="s">
        <v>43</v>
      </c>
      <c r="P61" s="1" t="s">
        <v>600</v>
      </c>
      <c r="Q61" s="1" t="s">
        <v>42</v>
      </c>
      <c r="R61" s="1" t="s">
        <v>601</v>
      </c>
      <c r="S61" s="1" t="s">
        <v>122</v>
      </c>
      <c r="T61" s="1" t="s">
        <v>60</v>
      </c>
      <c r="U61" s="1" t="s">
        <v>81</v>
      </c>
      <c r="V61" s="1" t="s">
        <v>602</v>
      </c>
      <c r="W61" s="1" t="s">
        <v>35</v>
      </c>
      <c r="X61" s="1" t="s">
        <v>35</v>
      </c>
      <c r="Y61" s="1" t="s">
        <v>49</v>
      </c>
      <c r="Z61" s="1" t="s">
        <v>35</v>
      </c>
      <c r="AA61" s="1" t="s">
        <v>35</v>
      </c>
      <c r="AB61" s="1" t="s">
        <v>35</v>
      </c>
      <c r="AC61" s="1" t="s">
        <v>35</v>
      </c>
      <c r="AD61" s="1" t="s">
        <v>35</v>
      </c>
      <c r="AE61" s="1" t="s">
        <v>603</v>
      </c>
      <c r="AF61" s="1" t="s">
        <v>604</v>
      </c>
    </row>
    <row r="62" spans="1:32" x14ac:dyDescent="0.25">
      <c r="A62" s="1" t="s">
        <v>65</v>
      </c>
      <c r="B62" s="1" t="s">
        <v>613</v>
      </c>
      <c r="C62" s="1" t="s">
        <v>614</v>
      </c>
      <c r="D62" s="1" t="s">
        <v>615</v>
      </c>
      <c r="E62" s="24">
        <v>45760</v>
      </c>
      <c r="F62" s="2" t="s">
        <v>102</v>
      </c>
      <c r="G62" s="1" t="s">
        <v>54</v>
      </c>
      <c r="H62" s="1" t="s">
        <v>36</v>
      </c>
      <c r="I62" s="1" t="s">
        <v>37</v>
      </c>
      <c r="J62" s="1" t="s">
        <v>38</v>
      </c>
      <c r="K62" s="1" t="s">
        <v>55</v>
      </c>
      <c r="L62" s="1" t="s">
        <v>69</v>
      </c>
      <c r="M62" s="1" t="s">
        <v>56</v>
      </c>
      <c r="N62" s="1" t="s">
        <v>42</v>
      </c>
      <c r="O62" s="1" t="s">
        <v>43</v>
      </c>
      <c r="P62" s="1" t="s">
        <v>616</v>
      </c>
      <c r="Q62" s="1" t="s">
        <v>42</v>
      </c>
      <c r="R62" s="1" t="s">
        <v>434</v>
      </c>
      <c r="S62" s="1" t="s">
        <v>367</v>
      </c>
      <c r="T62" s="1" t="s">
        <v>60</v>
      </c>
      <c r="U62" s="1" t="s">
        <v>61</v>
      </c>
      <c r="V62" s="1" t="s">
        <v>617</v>
      </c>
      <c r="W62" s="1" t="s">
        <v>35</v>
      </c>
      <c r="X62" s="1" t="s">
        <v>35</v>
      </c>
      <c r="Y62" s="1" t="s">
        <v>49</v>
      </c>
      <c r="Z62" s="1" t="s">
        <v>35</v>
      </c>
      <c r="AA62" s="1" t="s">
        <v>35</v>
      </c>
      <c r="AB62" s="1" t="s">
        <v>35</v>
      </c>
      <c r="AC62" s="1" t="s">
        <v>35</v>
      </c>
      <c r="AD62" s="1" t="s">
        <v>35</v>
      </c>
      <c r="AE62" s="1" t="s">
        <v>618</v>
      </c>
      <c r="AF62" s="1" t="s">
        <v>619</v>
      </c>
    </row>
    <row r="63" spans="1:32" x14ac:dyDescent="0.25">
      <c r="A63" s="1" t="s">
        <v>31</v>
      </c>
      <c r="B63" s="1" t="s">
        <v>605</v>
      </c>
      <c r="C63" s="1" t="s">
        <v>606</v>
      </c>
      <c r="D63" s="1" t="s">
        <v>607</v>
      </c>
      <c r="E63" s="24">
        <v>45760</v>
      </c>
      <c r="F63" s="2" t="s">
        <v>39</v>
      </c>
      <c r="G63" s="1" t="s">
        <v>302</v>
      </c>
      <c r="H63" s="1" t="s">
        <v>36</v>
      </c>
      <c r="I63" s="1" t="s">
        <v>37</v>
      </c>
      <c r="J63" s="1" t="s">
        <v>432</v>
      </c>
      <c r="K63" s="1" t="s">
        <v>55</v>
      </c>
      <c r="L63" s="1" t="s">
        <v>176</v>
      </c>
      <c r="M63" s="1" t="s">
        <v>407</v>
      </c>
      <c r="N63" s="1" t="s">
        <v>42</v>
      </c>
      <c r="O63" s="1" t="s">
        <v>43</v>
      </c>
      <c r="P63" s="1" t="s">
        <v>407</v>
      </c>
      <c r="Q63" s="1" t="s">
        <v>42</v>
      </c>
      <c r="R63" s="1" t="s">
        <v>608</v>
      </c>
      <c r="S63" s="1" t="s">
        <v>609</v>
      </c>
      <c r="T63" s="1" t="s">
        <v>60</v>
      </c>
      <c r="U63" s="1" t="s">
        <v>61</v>
      </c>
      <c r="V63" s="1" t="s">
        <v>610</v>
      </c>
      <c r="W63" s="1" t="s">
        <v>35</v>
      </c>
      <c r="X63" s="1" t="s">
        <v>35</v>
      </c>
      <c r="Y63" s="1" t="s">
        <v>49</v>
      </c>
      <c r="Z63" s="1" t="s">
        <v>35</v>
      </c>
      <c r="AA63" s="1" t="s">
        <v>35</v>
      </c>
      <c r="AB63" s="1" t="s">
        <v>35</v>
      </c>
      <c r="AC63" s="1" t="s">
        <v>35</v>
      </c>
      <c r="AD63" s="1" t="s">
        <v>35</v>
      </c>
      <c r="AE63" s="1" t="s">
        <v>611</v>
      </c>
      <c r="AF63" s="1" t="s">
        <v>612</v>
      </c>
    </row>
    <row r="64" spans="1:32" x14ac:dyDescent="0.25">
      <c r="A64" s="1" t="s">
        <v>105</v>
      </c>
      <c r="B64" s="1" t="s">
        <v>620</v>
      </c>
      <c r="C64" s="1" t="s">
        <v>621</v>
      </c>
      <c r="D64" s="1" t="s">
        <v>622</v>
      </c>
      <c r="E64" s="24">
        <v>45760</v>
      </c>
      <c r="F64" s="2" t="s">
        <v>151</v>
      </c>
      <c r="G64" s="1" t="s">
        <v>102</v>
      </c>
      <c r="H64" s="1" t="s">
        <v>36</v>
      </c>
      <c r="I64" s="1" t="s">
        <v>37</v>
      </c>
      <c r="J64" s="1" t="s">
        <v>38</v>
      </c>
      <c r="K64" s="1" t="s">
        <v>55</v>
      </c>
      <c r="L64" s="1" t="s">
        <v>176</v>
      </c>
      <c r="M64" s="1" t="s">
        <v>623</v>
      </c>
      <c r="N64" s="1" t="s">
        <v>42</v>
      </c>
      <c r="O64" s="1" t="s">
        <v>43</v>
      </c>
      <c r="P64" s="1" t="s">
        <v>243</v>
      </c>
      <c r="Q64" s="1" t="s">
        <v>42</v>
      </c>
      <c r="R64" s="1" t="s">
        <v>624</v>
      </c>
      <c r="S64" s="1" t="s">
        <v>135</v>
      </c>
      <c r="T64" s="1" t="s">
        <v>60</v>
      </c>
      <c r="U64" s="1" t="s">
        <v>112</v>
      </c>
      <c r="V64" s="1" t="s">
        <v>625</v>
      </c>
      <c r="W64" s="1" t="s">
        <v>35</v>
      </c>
      <c r="X64" s="1" t="s">
        <v>35</v>
      </c>
      <c r="Y64" s="1" t="s">
        <v>49</v>
      </c>
      <c r="Z64" s="1" t="s">
        <v>35</v>
      </c>
      <c r="AA64" s="1" t="s">
        <v>35</v>
      </c>
      <c r="AB64" s="1" t="s">
        <v>35</v>
      </c>
      <c r="AC64" s="1" t="s">
        <v>35</v>
      </c>
      <c r="AD64" s="1" t="s">
        <v>35</v>
      </c>
      <c r="AE64" s="1" t="s">
        <v>626</v>
      </c>
      <c r="AF64" s="1" t="s">
        <v>627</v>
      </c>
    </row>
    <row r="65" spans="1:32" x14ac:dyDescent="0.25">
      <c r="A65" s="1" t="s">
        <v>65</v>
      </c>
      <c r="B65" s="1" t="s">
        <v>628</v>
      </c>
      <c r="C65" s="1" t="s">
        <v>629</v>
      </c>
      <c r="D65" s="1" t="s">
        <v>630</v>
      </c>
      <c r="E65" s="24">
        <v>45761</v>
      </c>
      <c r="F65" s="2" t="s">
        <v>103</v>
      </c>
      <c r="G65" s="1" t="s">
        <v>54</v>
      </c>
      <c r="H65" s="1" t="s">
        <v>36</v>
      </c>
      <c r="I65" s="1" t="s">
        <v>37</v>
      </c>
      <c r="J65" s="1" t="s">
        <v>38</v>
      </c>
      <c r="K65" s="1" t="s">
        <v>55</v>
      </c>
      <c r="L65" s="1" t="s">
        <v>242</v>
      </c>
      <c r="M65" s="1" t="s">
        <v>222</v>
      </c>
      <c r="N65" s="1" t="s">
        <v>42</v>
      </c>
      <c r="O65" s="1" t="s">
        <v>43</v>
      </c>
      <c r="P65" s="1" t="s">
        <v>417</v>
      </c>
      <c r="Q65" s="1" t="s">
        <v>42</v>
      </c>
      <c r="R65" s="1" t="s">
        <v>631</v>
      </c>
      <c r="S65" s="1" t="s">
        <v>632</v>
      </c>
      <c r="T65" s="1" t="s">
        <v>60</v>
      </c>
      <c r="U65" s="1" t="s">
        <v>2571</v>
      </c>
      <c r="V65" s="1" t="s">
        <v>633</v>
      </c>
      <c r="W65" s="1" t="s">
        <v>35</v>
      </c>
      <c r="X65" s="1" t="s">
        <v>35</v>
      </c>
      <c r="Y65" s="1" t="s">
        <v>49</v>
      </c>
      <c r="Z65" s="1" t="s">
        <v>35</v>
      </c>
      <c r="AA65" s="1" t="s">
        <v>35</v>
      </c>
      <c r="AB65" s="1" t="s">
        <v>35</v>
      </c>
      <c r="AC65" s="1" t="s">
        <v>35</v>
      </c>
      <c r="AD65" s="1" t="s">
        <v>35</v>
      </c>
      <c r="AE65" s="1" t="s">
        <v>634</v>
      </c>
      <c r="AF65" s="1" t="s">
        <v>635</v>
      </c>
    </row>
    <row r="66" spans="1:32" x14ac:dyDescent="0.25">
      <c r="A66" s="1" t="s">
        <v>50</v>
      </c>
      <c r="B66" s="1" t="s">
        <v>636</v>
      </c>
      <c r="C66" s="1" t="s">
        <v>637</v>
      </c>
      <c r="D66" s="1" t="s">
        <v>638</v>
      </c>
      <c r="E66" s="24">
        <v>45767</v>
      </c>
      <c r="F66" s="2" t="s">
        <v>234</v>
      </c>
      <c r="G66" s="1" t="s">
        <v>194</v>
      </c>
      <c r="H66" s="1" t="s">
        <v>36</v>
      </c>
      <c r="I66" s="1" t="s">
        <v>37</v>
      </c>
      <c r="J66" s="1" t="s">
        <v>38</v>
      </c>
      <c r="K66" s="1" t="s">
        <v>55</v>
      </c>
      <c r="L66" s="1" t="s">
        <v>176</v>
      </c>
      <c r="M66" s="1" t="s">
        <v>177</v>
      </c>
      <c r="N66" s="1" t="s">
        <v>42</v>
      </c>
      <c r="O66" s="1" t="s">
        <v>43</v>
      </c>
      <c r="P66" s="1" t="s">
        <v>120</v>
      </c>
      <c r="Q66" s="1" t="s">
        <v>42</v>
      </c>
      <c r="R66" s="1" t="s">
        <v>639</v>
      </c>
      <c r="S66" s="1" t="s">
        <v>98</v>
      </c>
      <c r="T66" s="1" t="s">
        <v>60</v>
      </c>
      <c r="U66" s="1" t="s">
        <v>81</v>
      </c>
      <c r="V66" s="1" t="s">
        <v>253</v>
      </c>
      <c r="W66" s="1" t="s">
        <v>35</v>
      </c>
      <c r="X66" s="1" t="s">
        <v>35</v>
      </c>
      <c r="Y66" s="1" t="s">
        <v>49</v>
      </c>
      <c r="Z66" s="1" t="s">
        <v>35</v>
      </c>
      <c r="AA66" s="1" t="s">
        <v>35</v>
      </c>
      <c r="AB66" s="1" t="s">
        <v>35</v>
      </c>
      <c r="AC66" s="1" t="s">
        <v>35</v>
      </c>
      <c r="AD66" s="1" t="s">
        <v>35</v>
      </c>
      <c r="AE66" s="1" t="s">
        <v>640</v>
      </c>
      <c r="AF66" s="1" t="s">
        <v>641</v>
      </c>
    </row>
    <row r="67" spans="1:32" x14ac:dyDescent="0.25">
      <c r="A67" s="1" t="s">
        <v>65</v>
      </c>
      <c r="B67" s="1" t="s">
        <v>642</v>
      </c>
      <c r="C67" s="1" t="s">
        <v>643</v>
      </c>
      <c r="D67" s="1" t="s">
        <v>644</v>
      </c>
      <c r="E67" s="24">
        <v>45767</v>
      </c>
      <c r="F67" s="2" t="s">
        <v>102</v>
      </c>
      <c r="G67" s="1" t="s">
        <v>194</v>
      </c>
      <c r="H67" s="1" t="s">
        <v>36</v>
      </c>
      <c r="I67" s="1" t="s">
        <v>37</v>
      </c>
      <c r="J67" s="1" t="s">
        <v>38</v>
      </c>
      <c r="K67" s="1" t="s">
        <v>55</v>
      </c>
      <c r="L67" s="1" t="s">
        <v>176</v>
      </c>
      <c r="M67" s="1" t="s">
        <v>177</v>
      </c>
      <c r="N67" s="1" t="s">
        <v>42</v>
      </c>
      <c r="O67" s="1" t="s">
        <v>43</v>
      </c>
      <c r="P67" s="1" t="s">
        <v>243</v>
      </c>
      <c r="Q67" s="1" t="s">
        <v>42</v>
      </c>
      <c r="R67" s="1" t="s">
        <v>384</v>
      </c>
      <c r="S67" s="1" t="s">
        <v>197</v>
      </c>
      <c r="T67" s="1" t="s">
        <v>60</v>
      </c>
      <c r="U67" s="1" t="s">
        <v>61</v>
      </c>
      <c r="V67" s="1" t="s">
        <v>645</v>
      </c>
      <c r="W67" s="1" t="s">
        <v>35</v>
      </c>
      <c r="X67" s="1" t="s">
        <v>35</v>
      </c>
      <c r="Y67" s="1" t="s">
        <v>49</v>
      </c>
      <c r="Z67" s="1" t="s">
        <v>35</v>
      </c>
      <c r="AA67" s="1" t="s">
        <v>35</v>
      </c>
      <c r="AB67" s="1" t="s">
        <v>35</v>
      </c>
      <c r="AC67" s="1" t="s">
        <v>35</v>
      </c>
      <c r="AD67" s="1" t="s">
        <v>35</v>
      </c>
      <c r="AE67" s="1" t="s">
        <v>646</v>
      </c>
      <c r="AF67" s="1" t="s">
        <v>647</v>
      </c>
    </row>
    <row r="68" spans="1:32" x14ac:dyDescent="0.25">
      <c r="A68" s="1" t="s">
        <v>65</v>
      </c>
      <c r="B68" s="1" t="s">
        <v>648</v>
      </c>
      <c r="C68" s="1" t="s">
        <v>649</v>
      </c>
      <c r="D68" s="1" t="s">
        <v>650</v>
      </c>
      <c r="E68" s="24">
        <v>45768</v>
      </c>
      <c r="F68" s="2" t="s">
        <v>103</v>
      </c>
      <c r="G68" s="1" t="s">
        <v>54</v>
      </c>
      <c r="H68" s="1" t="s">
        <v>36</v>
      </c>
      <c r="I68" s="1" t="s">
        <v>37</v>
      </c>
      <c r="J68" s="1" t="s">
        <v>38</v>
      </c>
      <c r="K68" s="1" t="s">
        <v>55</v>
      </c>
      <c r="L68" s="1" t="s">
        <v>242</v>
      </c>
      <c r="M68" s="1" t="s">
        <v>222</v>
      </c>
      <c r="N68" s="1" t="s">
        <v>42</v>
      </c>
      <c r="O68" s="1" t="s">
        <v>43</v>
      </c>
      <c r="P68" s="1" t="s">
        <v>142</v>
      </c>
      <c r="Q68" s="1" t="s">
        <v>42</v>
      </c>
      <c r="R68" s="1" t="s">
        <v>651</v>
      </c>
      <c r="S68" s="1" t="s">
        <v>197</v>
      </c>
      <c r="T68" s="1" t="s">
        <v>60</v>
      </c>
      <c r="U68" s="1" t="s">
        <v>81</v>
      </c>
      <c r="V68" s="1" t="s">
        <v>652</v>
      </c>
      <c r="W68" s="1" t="s">
        <v>35</v>
      </c>
      <c r="X68" s="1" t="s">
        <v>35</v>
      </c>
      <c r="Y68" s="1" t="s">
        <v>49</v>
      </c>
      <c r="Z68" s="1" t="s">
        <v>35</v>
      </c>
      <c r="AA68" s="1" t="s">
        <v>35</v>
      </c>
      <c r="AB68" s="1" t="s">
        <v>35</v>
      </c>
      <c r="AC68" s="1" t="s">
        <v>35</v>
      </c>
      <c r="AD68" s="1" t="s">
        <v>35</v>
      </c>
      <c r="AE68" s="1" t="s">
        <v>653</v>
      </c>
      <c r="AF68" s="1" t="s">
        <v>654</v>
      </c>
    </row>
    <row r="69" spans="1:32" x14ac:dyDescent="0.25">
      <c r="A69" s="1" t="s">
        <v>65</v>
      </c>
      <c r="B69" s="1" t="s">
        <v>655</v>
      </c>
      <c r="C69" s="1" t="s">
        <v>656</v>
      </c>
      <c r="D69" s="1" t="s">
        <v>657</v>
      </c>
      <c r="E69" s="24">
        <v>45769</v>
      </c>
      <c r="F69" s="2" t="s">
        <v>102</v>
      </c>
      <c r="G69" s="1" t="s">
        <v>194</v>
      </c>
      <c r="H69" s="1" t="s">
        <v>36</v>
      </c>
      <c r="I69" s="1" t="s">
        <v>37</v>
      </c>
      <c r="J69" s="1" t="s">
        <v>38</v>
      </c>
      <c r="K69" s="1" t="s">
        <v>55</v>
      </c>
      <c r="L69" s="1" t="s">
        <v>69</v>
      </c>
      <c r="M69" s="1" t="s">
        <v>658</v>
      </c>
      <c r="N69" s="1" t="s">
        <v>42</v>
      </c>
      <c r="O69" s="1" t="s">
        <v>43</v>
      </c>
      <c r="P69" s="1" t="s">
        <v>659</v>
      </c>
      <c r="Q69" s="1" t="s">
        <v>42</v>
      </c>
      <c r="R69" s="1" t="s">
        <v>660</v>
      </c>
      <c r="S69" s="1" t="s">
        <v>661</v>
      </c>
      <c r="T69" s="1" t="s">
        <v>60</v>
      </c>
      <c r="U69" s="1" t="s">
        <v>61</v>
      </c>
      <c r="V69" s="1" t="s">
        <v>662</v>
      </c>
      <c r="W69" s="1" t="s">
        <v>35</v>
      </c>
      <c r="X69" s="1" t="s">
        <v>35</v>
      </c>
      <c r="Y69" s="1" t="s">
        <v>49</v>
      </c>
      <c r="Z69" s="1" t="s">
        <v>35</v>
      </c>
      <c r="AA69" s="1" t="s">
        <v>35</v>
      </c>
      <c r="AB69" s="1" t="s">
        <v>35</v>
      </c>
      <c r="AC69" s="1" t="s">
        <v>35</v>
      </c>
      <c r="AD69" s="1" t="s">
        <v>35</v>
      </c>
      <c r="AE69" s="1" t="s">
        <v>35</v>
      </c>
      <c r="AF69" s="1" t="s">
        <v>35</v>
      </c>
    </row>
    <row r="70" spans="1:32" x14ac:dyDescent="0.25">
      <c r="A70" s="1" t="s">
        <v>65</v>
      </c>
      <c r="B70" s="1" t="s">
        <v>663</v>
      </c>
      <c r="C70" s="1" t="s">
        <v>664</v>
      </c>
      <c r="D70" s="1" t="s">
        <v>665</v>
      </c>
      <c r="E70" s="24">
        <v>45769</v>
      </c>
      <c r="F70" s="2" t="s">
        <v>103</v>
      </c>
      <c r="G70" s="1" t="s">
        <v>54</v>
      </c>
      <c r="H70" s="1" t="s">
        <v>36</v>
      </c>
      <c r="I70" s="1" t="s">
        <v>37</v>
      </c>
      <c r="J70" s="1" t="s">
        <v>38</v>
      </c>
      <c r="K70" s="1" t="s">
        <v>55</v>
      </c>
      <c r="L70" s="1" t="s">
        <v>69</v>
      </c>
      <c r="M70" s="1" t="s">
        <v>56</v>
      </c>
      <c r="N70" s="1" t="s">
        <v>42</v>
      </c>
      <c r="O70" s="1" t="s">
        <v>43</v>
      </c>
      <c r="P70" s="1" t="s">
        <v>616</v>
      </c>
      <c r="Q70" s="1" t="s">
        <v>42</v>
      </c>
      <c r="R70" s="1" t="s">
        <v>666</v>
      </c>
      <c r="S70" s="1" t="s">
        <v>667</v>
      </c>
      <c r="T70" s="1" t="s">
        <v>60</v>
      </c>
      <c r="U70" s="1" t="s">
        <v>668</v>
      </c>
      <c r="V70" s="1">
        <v>534584286</v>
      </c>
      <c r="W70" s="1" t="s">
        <v>35</v>
      </c>
      <c r="X70" s="1" t="s">
        <v>35</v>
      </c>
      <c r="Y70" s="1" t="s">
        <v>49</v>
      </c>
      <c r="Z70" s="1" t="s">
        <v>35</v>
      </c>
      <c r="AA70" s="1" t="s">
        <v>35</v>
      </c>
      <c r="AB70" s="1" t="s">
        <v>35</v>
      </c>
      <c r="AC70" s="1" t="s">
        <v>35</v>
      </c>
      <c r="AD70" s="1" t="s">
        <v>35</v>
      </c>
      <c r="AE70" s="1" t="s">
        <v>669</v>
      </c>
      <c r="AF70" s="1" t="s">
        <v>670</v>
      </c>
    </row>
    <row r="71" spans="1:32" x14ac:dyDescent="0.25">
      <c r="A71" s="1" t="s">
        <v>50</v>
      </c>
      <c r="B71" s="1" t="s">
        <v>671</v>
      </c>
      <c r="C71" s="1" t="s">
        <v>672</v>
      </c>
      <c r="D71" s="1" t="s">
        <v>673</v>
      </c>
      <c r="E71" s="24">
        <v>45769</v>
      </c>
      <c r="F71" s="2" t="s">
        <v>102</v>
      </c>
      <c r="G71" s="1" t="s">
        <v>194</v>
      </c>
      <c r="H71" s="1" t="s">
        <v>36</v>
      </c>
      <c r="I71" s="1" t="s">
        <v>37</v>
      </c>
      <c r="J71" s="1" t="s">
        <v>38</v>
      </c>
      <c r="K71" s="1" t="s">
        <v>55</v>
      </c>
      <c r="L71" s="1" t="s">
        <v>69</v>
      </c>
      <c r="M71" s="1" t="s">
        <v>56</v>
      </c>
      <c r="N71" s="1" t="s">
        <v>42</v>
      </c>
      <c r="O71" s="1" t="s">
        <v>43</v>
      </c>
      <c r="P71" s="1" t="s">
        <v>87</v>
      </c>
      <c r="Q71" s="1" t="s">
        <v>42</v>
      </c>
      <c r="R71" s="1" t="s">
        <v>674</v>
      </c>
      <c r="S71" s="1" t="s">
        <v>675</v>
      </c>
      <c r="T71" s="1" t="s">
        <v>46</v>
      </c>
      <c r="U71" s="1" t="s">
        <v>676</v>
      </c>
      <c r="V71" s="1" t="s">
        <v>677</v>
      </c>
      <c r="W71" s="1" t="s">
        <v>35</v>
      </c>
      <c r="X71" s="1" t="s">
        <v>35</v>
      </c>
      <c r="Y71" s="1" t="s">
        <v>49</v>
      </c>
      <c r="Z71" s="1" t="s">
        <v>35</v>
      </c>
      <c r="AA71" s="1" t="s">
        <v>35</v>
      </c>
      <c r="AB71" s="1" t="s">
        <v>35</v>
      </c>
      <c r="AC71" s="1" t="s">
        <v>35</v>
      </c>
      <c r="AD71" s="1" t="s">
        <v>35</v>
      </c>
      <c r="AE71" s="1" t="s">
        <v>678</v>
      </c>
      <c r="AF71" s="1" t="s">
        <v>679</v>
      </c>
    </row>
    <row r="72" spans="1:32" x14ac:dyDescent="0.25">
      <c r="A72" s="1" t="s">
        <v>50</v>
      </c>
      <c r="B72" s="1" t="s">
        <v>680</v>
      </c>
      <c r="C72" s="1" t="s">
        <v>681</v>
      </c>
      <c r="D72" s="1" t="s">
        <v>682</v>
      </c>
      <c r="E72" s="24">
        <v>45770</v>
      </c>
      <c r="F72" s="2" t="s">
        <v>39</v>
      </c>
      <c r="G72" s="1" t="s">
        <v>54</v>
      </c>
      <c r="H72" s="1" t="s">
        <v>36</v>
      </c>
      <c r="I72" s="1" t="s">
        <v>37</v>
      </c>
      <c r="J72" s="1" t="s">
        <v>38</v>
      </c>
      <c r="K72" s="1" t="s">
        <v>55</v>
      </c>
      <c r="L72" s="1" t="s">
        <v>242</v>
      </c>
      <c r="M72" s="1" t="s">
        <v>683</v>
      </c>
      <c r="N72" s="1" t="s">
        <v>42</v>
      </c>
      <c r="O72" s="1" t="s">
        <v>43</v>
      </c>
      <c r="P72" s="1" t="s">
        <v>683</v>
      </c>
      <c r="Q72" s="1" t="s">
        <v>42</v>
      </c>
      <c r="R72" s="1" t="s">
        <v>684</v>
      </c>
      <c r="S72" s="1" t="s">
        <v>59</v>
      </c>
      <c r="T72" s="1" t="s">
        <v>46</v>
      </c>
      <c r="U72" s="1" t="s">
        <v>81</v>
      </c>
      <c r="V72" s="1" t="s">
        <v>685</v>
      </c>
      <c r="W72" s="1" t="s">
        <v>35</v>
      </c>
      <c r="X72" s="1" t="s">
        <v>35</v>
      </c>
      <c r="Y72" s="1" t="s">
        <v>49</v>
      </c>
      <c r="Z72" s="1" t="s">
        <v>35</v>
      </c>
      <c r="AA72" s="1" t="s">
        <v>35</v>
      </c>
      <c r="AB72" s="1" t="s">
        <v>35</v>
      </c>
      <c r="AC72" s="1" t="s">
        <v>35</v>
      </c>
      <c r="AD72" s="1" t="s">
        <v>35</v>
      </c>
      <c r="AE72" s="1" t="s">
        <v>686</v>
      </c>
      <c r="AF72" s="1" t="s">
        <v>687</v>
      </c>
    </row>
    <row r="73" spans="1:32" x14ac:dyDescent="0.25">
      <c r="A73" s="1" t="s">
        <v>65</v>
      </c>
      <c r="B73" s="1" t="s">
        <v>688</v>
      </c>
      <c r="C73" s="1" t="s">
        <v>689</v>
      </c>
      <c r="D73" s="1" t="s">
        <v>690</v>
      </c>
      <c r="E73" s="24">
        <v>45771</v>
      </c>
      <c r="F73" s="2" t="s">
        <v>102</v>
      </c>
      <c r="G73" s="1" t="s">
        <v>54</v>
      </c>
      <c r="H73" s="1" t="s">
        <v>36</v>
      </c>
      <c r="I73" s="1" t="s">
        <v>37</v>
      </c>
      <c r="J73" s="1" t="s">
        <v>38</v>
      </c>
      <c r="K73" s="1" t="s">
        <v>55</v>
      </c>
      <c r="L73" s="1" t="s">
        <v>176</v>
      </c>
      <c r="M73" s="1" t="s">
        <v>56</v>
      </c>
      <c r="N73" s="1" t="s">
        <v>42</v>
      </c>
      <c r="O73" s="1" t="s">
        <v>43</v>
      </c>
      <c r="P73" s="1" t="s">
        <v>616</v>
      </c>
      <c r="Q73" s="1" t="s">
        <v>42</v>
      </c>
      <c r="R73" s="1" t="s">
        <v>691</v>
      </c>
      <c r="S73" s="1" t="s">
        <v>45</v>
      </c>
      <c r="T73" s="1" t="s">
        <v>60</v>
      </c>
      <c r="U73" s="1" t="s">
        <v>61</v>
      </c>
      <c r="V73" s="1" t="s">
        <v>692</v>
      </c>
      <c r="W73" s="1" t="s">
        <v>35</v>
      </c>
      <c r="X73" s="1" t="s">
        <v>35</v>
      </c>
      <c r="Y73" s="1" t="s">
        <v>49</v>
      </c>
      <c r="Z73" s="1" t="s">
        <v>35</v>
      </c>
      <c r="AA73" s="1" t="s">
        <v>35</v>
      </c>
      <c r="AB73" s="1" t="s">
        <v>35</v>
      </c>
      <c r="AC73" s="1" t="s">
        <v>35</v>
      </c>
      <c r="AD73" s="1" t="s">
        <v>35</v>
      </c>
      <c r="AE73" s="1" t="s">
        <v>693</v>
      </c>
      <c r="AF73" s="1" t="s">
        <v>694</v>
      </c>
    </row>
    <row r="74" spans="1:32" x14ac:dyDescent="0.25">
      <c r="A74" s="1" t="s">
        <v>65</v>
      </c>
      <c r="B74" s="1" t="s">
        <v>695</v>
      </c>
      <c r="C74" s="1" t="s">
        <v>696</v>
      </c>
      <c r="D74" s="1" t="s">
        <v>697</v>
      </c>
      <c r="E74" s="24">
        <v>45771</v>
      </c>
      <c r="F74" s="2" t="s">
        <v>103</v>
      </c>
      <c r="G74" s="1" t="s">
        <v>54</v>
      </c>
      <c r="H74" s="1" t="s">
        <v>36</v>
      </c>
      <c r="I74" s="1" t="s">
        <v>37</v>
      </c>
      <c r="J74" s="1" t="s">
        <v>432</v>
      </c>
      <c r="K74" s="1" t="s">
        <v>55</v>
      </c>
      <c r="L74" s="1" t="s">
        <v>242</v>
      </c>
      <c r="M74" s="1" t="s">
        <v>222</v>
      </c>
      <c r="N74" s="1" t="s">
        <v>42</v>
      </c>
      <c r="O74" s="1" t="s">
        <v>43</v>
      </c>
      <c r="P74" s="1" t="s">
        <v>417</v>
      </c>
      <c r="Q74" s="1" t="s">
        <v>42</v>
      </c>
      <c r="R74" s="1" t="s">
        <v>698</v>
      </c>
      <c r="S74" s="1" t="s">
        <v>98</v>
      </c>
      <c r="T74" s="1" t="s">
        <v>60</v>
      </c>
      <c r="U74" s="1" t="s">
        <v>81</v>
      </c>
      <c r="V74" s="1" t="s">
        <v>699</v>
      </c>
      <c r="W74" s="1" t="s">
        <v>35</v>
      </c>
      <c r="X74" s="1" t="s">
        <v>35</v>
      </c>
      <c r="Y74" s="1" t="s">
        <v>49</v>
      </c>
      <c r="Z74" s="1" t="s">
        <v>35</v>
      </c>
      <c r="AA74" s="1" t="s">
        <v>35</v>
      </c>
      <c r="AB74" s="1" t="s">
        <v>35</v>
      </c>
      <c r="AC74" s="1" t="s">
        <v>35</v>
      </c>
      <c r="AD74" s="1" t="s">
        <v>35</v>
      </c>
      <c r="AE74" s="1" t="s">
        <v>700</v>
      </c>
      <c r="AF74" s="1" t="s">
        <v>701</v>
      </c>
    </row>
    <row r="75" spans="1:32" x14ac:dyDescent="0.25">
      <c r="A75" s="1" t="s">
        <v>50</v>
      </c>
      <c r="B75" s="1" t="s">
        <v>702</v>
      </c>
      <c r="C75" s="1" t="s">
        <v>703</v>
      </c>
      <c r="D75" s="1" t="s">
        <v>704</v>
      </c>
      <c r="E75" s="24">
        <v>45774</v>
      </c>
      <c r="F75" s="2" t="s">
        <v>103</v>
      </c>
      <c r="G75" s="1" t="s">
        <v>54</v>
      </c>
      <c r="H75" s="1" t="s">
        <v>36</v>
      </c>
      <c r="I75" s="1" t="s">
        <v>37</v>
      </c>
      <c r="J75" s="1" t="s">
        <v>432</v>
      </c>
      <c r="K75" s="1" t="s">
        <v>55</v>
      </c>
      <c r="L75" s="1" t="s">
        <v>69</v>
      </c>
      <c r="M75" s="1" t="s">
        <v>705</v>
      </c>
      <c r="N75" s="1" t="s">
        <v>42</v>
      </c>
      <c r="O75" s="1" t="s">
        <v>43</v>
      </c>
      <c r="P75" s="1" t="s">
        <v>706</v>
      </c>
      <c r="Q75" s="1" t="s">
        <v>42</v>
      </c>
      <c r="R75" s="1" t="s">
        <v>707</v>
      </c>
      <c r="S75" s="1" t="s">
        <v>259</v>
      </c>
      <c r="T75" s="1" t="s">
        <v>60</v>
      </c>
      <c r="U75" s="1" t="s">
        <v>81</v>
      </c>
      <c r="V75" s="1" t="s">
        <v>708</v>
      </c>
      <c r="W75" s="1" t="s">
        <v>35</v>
      </c>
      <c r="X75" s="1" t="s">
        <v>35</v>
      </c>
      <c r="Y75" s="1" t="s">
        <v>49</v>
      </c>
      <c r="Z75" s="1" t="s">
        <v>35</v>
      </c>
      <c r="AA75" s="1" t="s">
        <v>35</v>
      </c>
      <c r="AB75" s="1" t="s">
        <v>35</v>
      </c>
      <c r="AC75" s="1" t="s">
        <v>35</v>
      </c>
      <c r="AD75" s="1" t="s">
        <v>35</v>
      </c>
      <c r="AE75" s="1" t="s">
        <v>709</v>
      </c>
      <c r="AF75" s="1" t="s">
        <v>710</v>
      </c>
    </row>
    <row r="76" spans="1:32" x14ac:dyDescent="0.25">
      <c r="A76" s="1" t="s">
        <v>65</v>
      </c>
      <c r="B76" s="1" t="s">
        <v>711</v>
      </c>
      <c r="C76" s="1" t="s">
        <v>712</v>
      </c>
      <c r="D76" s="1" t="s">
        <v>713</v>
      </c>
      <c r="E76" s="24">
        <v>45775</v>
      </c>
      <c r="F76" s="2" t="s">
        <v>102</v>
      </c>
      <c r="G76" s="1" t="s">
        <v>54</v>
      </c>
      <c r="H76" s="1" t="s">
        <v>36</v>
      </c>
      <c r="I76" s="1" t="s">
        <v>37</v>
      </c>
      <c r="J76" s="1" t="s">
        <v>38</v>
      </c>
      <c r="K76" s="1" t="s">
        <v>55</v>
      </c>
      <c r="L76" s="1" t="s">
        <v>69</v>
      </c>
      <c r="M76" s="1" t="s">
        <v>56</v>
      </c>
      <c r="N76" s="1" t="s">
        <v>42</v>
      </c>
      <c r="O76" s="1" t="s">
        <v>43</v>
      </c>
      <c r="P76" s="1" t="s">
        <v>87</v>
      </c>
      <c r="Q76" s="1" t="s">
        <v>42</v>
      </c>
      <c r="R76" s="1" t="s">
        <v>714</v>
      </c>
      <c r="S76" s="1" t="s">
        <v>167</v>
      </c>
      <c r="T76" s="1" t="s">
        <v>60</v>
      </c>
      <c r="U76" s="1" t="s">
        <v>145</v>
      </c>
      <c r="V76" s="1" t="s">
        <v>715</v>
      </c>
      <c r="W76" s="1" t="s">
        <v>35</v>
      </c>
      <c r="X76" s="1" t="s">
        <v>35</v>
      </c>
      <c r="Y76" s="1" t="s">
        <v>49</v>
      </c>
      <c r="Z76" s="1" t="s">
        <v>35</v>
      </c>
      <c r="AA76" s="1" t="s">
        <v>35</v>
      </c>
      <c r="AB76" s="1" t="s">
        <v>35</v>
      </c>
      <c r="AC76" s="1" t="s">
        <v>587</v>
      </c>
      <c r="AD76" s="1" t="s">
        <v>716</v>
      </c>
      <c r="AE76" s="1" t="s">
        <v>717</v>
      </c>
      <c r="AF76" s="1" t="s">
        <v>718</v>
      </c>
    </row>
    <row r="77" spans="1:32" x14ac:dyDescent="0.25">
      <c r="A77" s="1" t="s">
        <v>105</v>
      </c>
      <c r="B77" s="1" t="s">
        <v>719</v>
      </c>
      <c r="C77" s="1" t="s">
        <v>720</v>
      </c>
      <c r="D77" s="1" t="s">
        <v>721</v>
      </c>
      <c r="E77" s="24">
        <v>45782</v>
      </c>
      <c r="F77" s="2" t="s">
        <v>102</v>
      </c>
      <c r="G77" s="1" t="s">
        <v>194</v>
      </c>
      <c r="H77" s="1" t="s">
        <v>36</v>
      </c>
      <c r="I77" s="1" t="s">
        <v>37</v>
      </c>
      <c r="J77" s="1" t="s">
        <v>38</v>
      </c>
      <c r="K77" s="1" t="s">
        <v>55</v>
      </c>
      <c r="L77" s="1" t="s">
        <v>242</v>
      </c>
      <c r="M77" s="1" t="s">
        <v>476</v>
      </c>
      <c r="N77" s="1" t="s">
        <v>42</v>
      </c>
      <c r="O77" s="1" t="s">
        <v>43</v>
      </c>
      <c r="P77" s="1" t="s">
        <v>722</v>
      </c>
      <c r="Q77" s="1" t="s">
        <v>42</v>
      </c>
      <c r="R77" s="1" t="s">
        <v>723</v>
      </c>
      <c r="S77" s="1" t="s">
        <v>724</v>
      </c>
      <c r="T77" s="1" t="s">
        <v>46</v>
      </c>
      <c r="U77" s="1" t="s">
        <v>112</v>
      </c>
      <c r="V77" s="1">
        <v>536277392</v>
      </c>
      <c r="W77" s="1" t="s">
        <v>35</v>
      </c>
      <c r="X77" s="1" t="s">
        <v>35</v>
      </c>
      <c r="Y77" s="1" t="s">
        <v>49</v>
      </c>
      <c r="Z77" s="1" t="s">
        <v>35</v>
      </c>
      <c r="AA77" s="1" t="s">
        <v>35</v>
      </c>
      <c r="AB77" s="1" t="s">
        <v>35</v>
      </c>
      <c r="AC77" s="1" t="s">
        <v>35</v>
      </c>
      <c r="AD77" s="1" t="s">
        <v>35</v>
      </c>
      <c r="AE77" s="1" t="s">
        <v>726</v>
      </c>
      <c r="AF77" s="1" t="s">
        <v>727</v>
      </c>
    </row>
    <row r="78" spans="1:32" x14ac:dyDescent="0.25">
      <c r="A78" s="1" t="s">
        <v>105</v>
      </c>
      <c r="B78" s="1" t="s">
        <v>728</v>
      </c>
      <c r="C78" s="1" t="s">
        <v>729</v>
      </c>
      <c r="D78" s="1" t="s">
        <v>730</v>
      </c>
      <c r="E78" s="24">
        <v>45782</v>
      </c>
      <c r="F78" s="2" t="s">
        <v>102</v>
      </c>
      <c r="G78" s="1" t="s">
        <v>194</v>
      </c>
      <c r="H78" s="1" t="s">
        <v>36</v>
      </c>
      <c r="I78" s="1" t="s">
        <v>37</v>
      </c>
      <c r="J78" s="1" t="s">
        <v>38</v>
      </c>
      <c r="K78" s="1" t="s">
        <v>55</v>
      </c>
      <c r="L78" s="1" t="s">
        <v>242</v>
      </c>
      <c r="M78" s="1" t="s">
        <v>476</v>
      </c>
      <c r="N78" s="1" t="s">
        <v>42</v>
      </c>
      <c r="O78" s="1" t="s">
        <v>43</v>
      </c>
      <c r="P78" s="1" t="s">
        <v>722</v>
      </c>
      <c r="Q78" s="1" t="s">
        <v>42</v>
      </c>
      <c r="R78" s="1" t="s">
        <v>731</v>
      </c>
      <c r="S78" s="1" t="s">
        <v>732</v>
      </c>
      <c r="T78" s="1" t="s">
        <v>46</v>
      </c>
      <c r="U78" s="1" t="s">
        <v>112</v>
      </c>
      <c r="V78" s="1" t="s">
        <v>725</v>
      </c>
      <c r="W78" s="1" t="s">
        <v>35</v>
      </c>
      <c r="X78" s="1" t="s">
        <v>35</v>
      </c>
      <c r="Y78" s="1" t="s">
        <v>49</v>
      </c>
      <c r="Z78" s="1" t="s">
        <v>35</v>
      </c>
      <c r="AA78" s="1" t="s">
        <v>35</v>
      </c>
      <c r="AB78" s="1" t="s">
        <v>35</v>
      </c>
      <c r="AC78" s="1" t="s">
        <v>35</v>
      </c>
      <c r="AD78" s="1" t="s">
        <v>35</v>
      </c>
      <c r="AE78" s="1" t="s">
        <v>733</v>
      </c>
      <c r="AF78" s="1" t="s">
        <v>734</v>
      </c>
    </row>
    <row r="79" spans="1:32" x14ac:dyDescent="0.25">
      <c r="A79" s="1" t="s">
        <v>65</v>
      </c>
      <c r="B79" s="1" t="s">
        <v>735</v>
      </c>
      <c r="C79" s="1" t="s">
        <v>736</v>
      </c>
      <c r="D79" s="1" t="s">
        <v>737</v>
      </c>
      <c r="E79" s="24">
        <v>45785</v>
      </c>
      <c r="F79" s="2" t="s">
        <v>103</v>
      </c>
      <c r="G79" s="1" t="s">
        <v>35</v>
      </c>
      <c r="H79" s="1" t="s">
        <v>36</v>
      </c>
      <c r="I79" s="1" t="s">
        <v>37</v>
      </c>
      <c r="J79" s="1" t="s">
        <v>432</v>
      </c>
      <c r="K79" s="1" t="s">
        <v>55</v>
      </c>
      <c r="L79" s="1" t="s">
        <v>432</v>
      </c>
      <c r="M79" s="1" t="s">
        <v>738</v>
      </c>
      <c r="N79" s="1" t="s">
        <v>42</v>
      </c>
      <c r="O79" s="1" t="s">
        <v>43</v>
      </c>
      <c r="P79" s="1" t="s">
        <v>739</v>
      </c>
      <c r="Q79" s="1" t="s">
        <v>42</v>
      </c>
      <c r="R79" s="1" t="s">
        <v>740</v>
      </c>
      <c r="S79" s="1" t="s">
        <v>675</v>
      </c>
      <c r="T79" s="1" t="s">
        <v>60</v>
      </c>
      <c r="U79" s="1" t="s">
        <v>668</v>
      </c>
      <c r="V79" s="1" t="s">
        <v>741</v>
      </c>
      <c r="W79" s="1" t="s">
        <v>35</v>
      </c>
      <c r="X79" s="1" t="s">
        <v>35</v>
      </c>
      <c r="Y79" s="1" t="s">
        <v>49</v>
      </c>
      <c r="Z79" s="1" t="s">
        <v>35</v>
      </c>
      <c r="AA79" s="1" t="s">
        <v>35</v>
      </c>
      <c r="AB79" s="1" t="s">
        <v>35</v>
      </c>
      <c r="AC79" s="1" t="s">
        <v>35</v>
      </c>
      <c r="AD79" s="1" t="s">
        <v>35</v>
      </c>
      <c r="AE79" s="1" t="s">
        <v>35</v>
      </c>
      <c r="AF79" s="1" t="s">
        <v>35</v>
      </c>
    </row>
    <row r="80" spans="1:32" x14ac:dyDescent="0.25">
      <c r="A80" s="1" t="s">
        <v>65</v>
      </c>
      <c r="B80" s="1" t="s">
        <v>742</v>
      </c>
      <c r="C80" s="1" t="s">
        <v>743</v>
      </c>
      <c r="D80" s="1" t="s">
        <v>744</v>
      </c>
      <c r="E80" s="24">
        <v>45785</v>
      </c>
      <c r="F80" s="2" t="s">
        <v>103</v>
      </c>
      <c r="G80" s="1" t="s">
        <v>54</v>
      </c>
      <c r="H80" s="1" t="s">
        <v>36</v>
      </c>
      <c r="I80" s="1" t="s">
        <v>37</v>
      </c>
      <c r="J80" s="1" t="s">
        <v>38</v>
      </c>
      <c r="K80" s="1" t="s">
        <v>55</v>
      </c>
      <c r="L80" s="1" t="s">
        <v>242</v>
      </c>
      <c r="M80" s="1" t="s">
        <v>119</v>
      </c>
      <c r="N80" s="1" t="s">
        <v>42</v>
      </c>
      <c r="O80" s="1" t="s">
        <v>43</v>
      </c>
      <c r="P80" s="1" t="s">
        <v>119</v>
      </c>
      <c r="Q80" s="1" t="s">
        <v>42</v>
      </c>
      <c r="R80" s="1" t="s">
        <v>745</v>
      </c>
      <c r="S80" s="1" t="s">
        <v>746</v>
      </c>
      <c r="T80" s="1" t="s">
        <v>46</v>
      </c>
      <c r="U80" s="1" t="s">
        <v>747</v>
      </c>
      <c r="V80" s="1" t="s">
        <v>748</v>
      </c>
      <c r="W80" s="1" t="s">
        <v>35</v>
      </c>
      <c r="X80" s="1" t="s">
        <v>35</v>
      </c>
      <c r="Y80" s="1" t="s">
        <v>49</v>
      </c>
      <c r="Z80" s="1" t="s">
        <v>35</v>
      </c>
      <c r="AA80" s="1" t="s">
        <v>35</v>
      </c>
      <c r="AB80" s="1" t="s">
        <v>35</v>
      </c>
      <c r="AC80" s="1" t="s">
        <v>35</v>
      </c>
      <c r="AD80" s="1" t="s">
        <v>35</v>
      </c>
      <c r="AE80" s="1" t="s">
        <v>749</v>
      </c>
      <c r="AF80" s="1" t="s">
        <v>750</v>
      </c>
    </row>
    <row r="81" spans="1:32" x14ac:dyDescent="0.25">
      <c r="A81" s="1" t="s">
        <v>50</v>
      </c>
      <c r="B81" s="1" t="s">
        <v>751</v>
      </c>
      <c r="C81" s="1" t="s">
        <v>752</v>
      </c>
      <c r="D81" s="1" t="s">
        <v>753</v>
      </c>
      <c r="E81" s="24">
        <v>45787</v>
      </c>
      <c r="F81" s="2" t="s">
        <v>102</v>
      </c>
      <c r="G81" s="1" t="s">
        <v>302</v>
      </c>
      <c r="H81" s="1" t="s">
        <v>36</v>
      </c>
      <c r="I81" s="1" t="s">
        <v>37</v>
      </c>
      <c r="J81" s="1" t="s">
        <v>38</v>
      </c>
      <c r="K81" s="1" t="s">
        <v>55</v>
      </c>
      <c r="L81" s="1" t="s">
        <v>69</v>
      </c>
      <c r="M81" s="1" t="s">
        <v>754</v>
      </c>
      <c r="N81" s="1" t="s">
        <v>42</v>
      </c>
      <c r="O81" s="1" t="s">
        <v>43</v>
      </c>
      <c r="P81" s="1" t="s">
        <v>120</v>
      </c>
      <c r="Q81" s="1" t="s">
        <v>42</v>
      </c>
      <c r="R81" s="1" t="s">
        <v>755</v>
      </c>
      <c r="S81" s="1" t="s">
        <v>756</v>
      </c>
      <c r="T81" s="1" t="s">
        <v>60</v>
      </c>
      <c r="U81" s="1" t="s">
        <v>757</v>
      </c>
      <c r="V81" s="1" t="s">
        <v>758</v>
      </c>
      <c r="W81" s="1" t="s">
        <v>35</v>
      </c>
      <c r="X81" s="1" t="s">
        <v>35</v>
      </c>
      <c r="Y81" s="1" t="s">
        <v>49</v>
      </c>
      <c r="Z81" s="1" t="s">
        <v>35</v>
      </c>
      <c r="AA81" s="1" t="s">
        <v>35</v>
      </c>
      <c r="AB81" s="1" t="s">
        <v>35</v>
      </c>
      <c r="AC81" s="1" t="s">
        <v>35</v>
      </c>
      <c r="AD81" s="1" t="s">
        <v>35</v>
      </c>
      <c r="AE81" s="1" t="s">
        <v>759</v>
      </c>
      <c r="AF81" s="1" t="s">
        <v>760</v>
      </c>
    </row>
    <row r="82" spans="1:32" x14ac:dyDescent="0.25">
      <c r="A82" s="1" t="s">
        <v>65</v>
      </c>
      <c r="B82" s="1" t="s">
        <v>761</v>
      </c>
      <c r="C82" s="1" t="s">
        <v>762</v>
      </c>
      <c r="D82" s="1" t="s">
        <v>763</v>
      </c>
      <c r="E82" s="24">
        <v>45788</v>
      </c>
      <c r="F82" s="2" t="s">
        <v>103</v>
      </c>
      <c r="G82" s="1" t="s">
        <v>54</v>
      </c>
      <c r="H82" s="1" t="s">
        <v>36</v>
      </c>
      <c r="I82" s="1" t="s">
        <v>37</v>
      </c>
      <c r="J82" s="1" t="s">
        <v>38</v>
      </c>
      <c r="K82" s="1" t="s">
        <v>55</v>
      </c>
      <c r="L82" s="1" t="s">
        <v>40</v>
      </c>
      <c r="M82" s="1" t="s">
        <v>56</v>
      </c>
      <c r="N82" s="1" t="s">
        <v>42</v>
      </c>
      <c r="O82" s="1" t="s">
        <v>43</v>
      </c>
      <c r="P82" s="1" t="s">
        <v>257</v>
      </c>
      <c r="Q82" s="1" t="s">
        <v>42</v>
      </c>
      <c r="R82" s="1" t="s">
        <v>764</v>
      </c>
      <c r="S82" s="1" t="s">
        <v>451</v>
      </c>
      <c r="T82" s="1" t="s">
        <v>60</v>
      </c>
      <c r="U82" s="1" t="s">
        <v>61</v>
      </c>
      <c r="V82" s="1" t="s">
        <v>765</v>
      </c>
      <c r="W82" s="1" t="s">
        <v>125</v>
      </c>
      <c r="X82" s="1" t="s">
        <v>766</v>
      </c>
      <c r="Y82" s="1" t="s">
        <v>49</v>
      </c>
      <c r="Z82" s="1" t="s">
        <v>35</v>
      </c>
      <c r="AA82" s="1" t="s">
        <v>35</v>
      </c>
      <c r="AB82" s="1" t="s">
        <v>35</v>
      </c>
      <c r="AC82" s="1" t="s">
        <v>587</v>
      </c>
      <c r="AD82" s="1" t="s">
        <v>767</v>
      </c>
      <c r="AE82" s="1" t="s">
        <v>768</v>
      </c>
      <c r="AF82" s="1" t="s">
        <v>769</v>
      </c>
    </row>
    <row r="83" spans="1:32" x14ac:dyDescent="0.25">
      <c r="A83" s="1" t="s">
        <v>50</v>
      </c>
      <c r="B83" s="1" t="s">
        <v>770</v>
      </c>
      <c r="C83" s="1" t="s">
        <v>771</v>
      </c>
      <c r="D83" s="1" t="s">
        <v>772</v>
      </c>
      <c r="E83" s="24">
        <v>45788</v>
      </c>
      <c r="F83" s="2" t="s">
        <v>102</v>
      </c>
      <c r="G83" s="1" t="s">
        <v>54</v>
      </c>
      <c r="H83" s="1" t="s">
        <v>36</v>
      </c>
      <c r="I83" s="1" t="s">
        <v>37</v>
      </c>
      <c r="J83" s="1" t="s">
        <v>38</v>
      </c>
      <c r="K83" s="1" t="s">
        <v>55</v>
      </c>
      <c r="L83" s="1" t="s">
        <v>40</v>
      </c>
      <c r="M83" s="1" t="s">
        <v>56</v>
      </c>
      <c r="N83" s="1" t="s">
        <v>42</v>
      </c>
      <c r="O83" s="1" t="s">
        <v>43</v>
      </c>
      <c r="P83" s="1" t="s">
        <v>158</v>
      </c>
      <c r="Q83" s="1" t="s">
        <v>42</v>
      </c>
      <c r="R83" s="1" t="s">
        <v>773</v>
      </c>
      <c r="S83" s="1" t="s">
        <v>259</v>
      </c>
      <c r="T83" s="1" t="s">
        <v>46</v>
      </c>
      <c r="U83" s="1" t="s">
        <v>81</v>
      </c>
      <c r="V83" s="1" t="s">
        <v>774</v>
      </c>
      <c r="W83" s="1" t="s">
        <v>125</v>
      </c>
      <c r="X83" s="1" t="s">
        <v>775</v>
      </c>
      <c r="Y83" s="1" t="s">
        <v>49</v>
      </c>
      <c r="Z83" s="1" t="s">
        <v>35</v>
      </c>
      <c r="AA83" s="1" t="s">
        <v>35</v>
      </c>
      <c r="AB83" s="1" t="s">
        <v>35</v>
      </c>
      <c r="AC83" s="1" t="s">
        <v>776</v>
      </c>
      <c r="AD83" s="1" t="s">
        <v>777</v>
      </c>
      <c r="AE83" s="1" t="s">
        <v>778</v>
      </c>
      <c r="AF83" s="1" t="s">
        <v>779</v>
      </c>
    </row>
    <row r="84" spans="1:32" x14ac:dyDescent="0.25">
      <c r="A84" s="1" t="s">
        <v>50</v>
      </c>
      <c r="B84" s="1" t="s">
        <v>780</v>
      </c>
      <c r="C84" s="1" t="s">
        <v>781</v>
      </c>
      <c r="D84" s="1" t="s">
        <v>782</v>
      </c>
      <c r="E84" s="24">
        <v>45788</v>
      </c>
      <c r="F84" s="2" t="s">
        <v>39</v>
      </c>
      <c r="G84" s="1" t="s">
        <v>783</v>
      </c>
      <c r="H84" s="1" t="s">
        <v>36</v>
      </c>
      <c r="I84" s="1" t="s">
        <v>37</v>
      </c>
      <c r="J84" s="1" t="s">
        <v>38</v>
      </c>
      <c r="K84" s="1" t="s">
        <v>39</v>
      </c>
      <c r="L84" s="1" t="s">
        <v>40</v>
      </c>
      <c r="M84" s="1" t="s">
        <v>119</v>
      </c>
      <c r="N84" s="1" t="s">
        <v>42</v>
      </c>
      <c r="O84" s="1" t="s">
        <v>43</v>
      </c>
      <c r="P84" s="1" t="s">
        <v>119</v>
      </c>
      <c r="Q84" s="1" t="s">
        <v>42</v>
      </c>
      <c r="R84" s="1" t="s">
        <v>784</v>
      </c>
      <c r="S84" s="1" t="s">
        <v>267</v>
      </c>
      <c r="T84" s="1" t="s">
        <v>60</v>
      </c>
      <c r="U84" s="1" t="s">
        <v>668</v>
      </c>
      <c r="V84" s="1" t="s">
        <v>785</v>
      </c>
      <c r="W84" s="1" t="s">
        <v>35</v>
      </c>
      <c r="X84" s="1" t="s">
        <v>35</v>
      </c>
      <c r="Y84" s="1" t="s">
        <v>104</v>
      </c>
      <c r="Z84" s="1" t="s">
        <v>35</v>
      </c>
      <c r="AA84" s="1" t="s">
        <v>35</v>
      </c>
      <c r="AB84" s="1" t="s">
        <v>35</v>
      </c>
      <c r="AC84" s="1" t="s">
        <v>127</v>
      </c>
      <c r="AD84" s="1" t="s">
        <v>786</v>
      </c>
      <c r="AE84" s="1" t="s">
        <v>787</v>
      </c>
      <c r="AF84" s="1" t="s">
        <v>788</v>
      </c>
    </row>
    <row r="85" spans="1:32" x14ac:dyDescent="0.25">
      <c r="A85" s="1" t="s">
        <v>50</v>
      </c>
      <c r="B85" s="1" t="s">
        <v>789</v>
      </c>
      <c r="C85" s="1" t="s">
        <v>790</v>
      </c>
      <c r="D85" s="1" t="s">
        <v>791</v>
      </c>
      <c r="E85" s="24">
        <v>45790</v>
      </c>
      <c r="F85" s="2" t="s">
        <v>103</v>
      </c>
      <c r="G85" s="1" t="s">
        <v>54</v>
      </c>
      <c r="H85" s="1" t="s">
        <v>36</v>
      </c>
      <c r="I85" s="1" t="s">
        <v>37</v>
      </c>
      <c r="J85" s="1" t="s">
        <v>38</v>
      </c>
      <c r="K85" s="1" t="s">
        <v>55</v>
      </c>
      <c r="L85" s="1" t="s">
        <v>242</v>
      </c>
      <c r="M85" s="1" t="s">
        <v>119</v>
      </c>
      <c r="N85" s="1" t="s">
        <v>42</v>
      </c>
      <c r="O85" s="1" t="s">
        <v>43</v>
      </c>
      <c r="P85" s="1" t="s">
        <v>185</v>
      </c>
      <c r="Q85" s="1" t="s">
        <v>42</v>
      </c>
      <c r="R85" s="1" t="s">
        <v>792</v>
      </c>
      <c r="S85" s="1" t="s">
        <v>259</v>
      </c>
      <c r="T85" s="1" t="s">
        <v>46</v>
      </c>
      <c r="U85" s="1" t="s">
        <v>81</v>
      </c>
      <c r="V85" s="1" t="s">
        <v>793</v>
      </c>
      <c r="W85" s="1" t="s">
        <v>35</v>
      </c>
      <c r="X85" s="1" t="s">
        <v>35</v>
      </c>
      <c r="Y85" s="1" t="s">
        <v>49</v>
      </c>
      <c r="Z85" s="1" t="s">
        <v>35</v>
      </c>
      <c r="AA85" s="1" t="s">
        <v>35</v>
      </c>
      <c r="AB85" s="1" t="s">
        <v>35</v>
      </c>
      <c r="AC85" s="1" t="s">
        <v>127</v>
      </c>
      <c r="AD85" s="1" t="s">
        <v>766</v>
      </c>
      <c r="AE85" s="1" t="s">
        <v>794</v>
      </c>
      <c r="AF85" s="1" t="s">
        <v>795</v>
      </c>
    </row>
    <row r="86" spans="1:32" x14ac:dyDescent="0.25">
      <c r="A86" s="1" t="s">
        <v>105</v>
      </c>
      <c r="B86" s="1" t="s">
        <v>796</v>
      </c>
      <c r="C86" s="1" t="s">
        <v>797</v>
      </c>
      <c r="D86" s="1" t="s">
        <v>798</v>
      </c>
      <c r="E86" s="24">
        <v>45790</v>
      </c>
      <c r="F86" s="2" t="s">
        <v>151</v>
      </c>
      <c r="G86" s="1" t="s">
        <v>102</v>
      </c>
      <c r="H86" s="1" t="s">
        <v>36</v>
      </c>
      <c r="I86" s="1" t="s">
        <v>37</v>
      </c>
      <c r="J86" s="1" t="s">
        <v>38</v>
      </c>
      <c r="K86" s="1" t="s">
        <v>55</v>
      </c>
      <c r="L86" s="1" t="s">
        <v>242</v>
      </c>
      <c r="M86" s="1" t="s">
        <v>119</v>
      </c>
      <c r="N86" s="1" t="s">
        <v>42</v>
      </c>
      <c r="O86" s="1" t="s">
        <v>43</v>
      </c>
      <c r="P86" s="1" t="s">
        <v>185</v>
      </c>
      <c r="Q86" s="1" t="s">
        <v>42</v>
      </c>
      <c r="R86" s="1" t="s">
        <v>799</v>
      </c>
      <c r="S86" s="1" t="s">
        <v>555</v>
      </c>
      <c r="T86" s="1" t="s">
        <v>60</v>
      </c>
      <c r="U86" s="1" t="s">
        <v>112</v>
      </c>
      <c r="V86" s="1" t="s">
        <v>800</v>
      </c>
      <c r="W86" s="1" t="s">
        <v>35</v>
      </c>
      <c r="X86" s="1" t="s">
        <v>35</v>
      </c>
      <c r="Y86" s="1" t="s">
        <v>49</v>
      </c>
      <c r="Z86" s="1" t="s">
        <v>35</v>
      </c>
      <c r="AA86" s="1" t="s">
        <v>35</v>
      </c>
      <c r="AB86" s="1" t="s">
        <v>35</v>
      </c>
      <c r="AC86" s="1" t="s">
        <v>127</v>
      </c>
      <c r="AD86" s="1" t="s">
        <v>786</v>
      </c>
      <c r="AE86" s="1" t="s">
        <v>801</v>
      </c>
      <c r="AF86" s="1" t="s">
        <v>802</v>
      </c>
    </row>
    <row r="87" spans="1:32" x14ac:dyDescent="0.25">
      <c r="A87" s="1" t="s">
        <v>50</v>
      </c>
      <c r="B87" s="1" t="s">
        <v>803</v>
      </c>
      <c r="C87" s="1" t="s">
        <v>804</v>
      </c>
      <c r="D87" s="1" t="s">
        <v>805</v>
      </c>
      <c r="E87" s="24">
        <v>45790</v>
      </c>
      <c r="F87" s="2" t="s">
        <v>39</v>
      </c>
      <c r="G87" s="1" t="s">
        <v>806</v>
      </c>
      <c r="H87" s="1" t="s">
        <v>36</v>
      </c>
      <c r="I87" s="1" t="s">
        <v>37</v>
      </c>
      <c r="J87" s="1" t="s">
        <v>38</v>
      </c>
      <c r="K87" s="1" t="s">
        <v>39</v>
      </c>
      <c r="L87" s="1" t="s">
        <v>807</v>
      </c>
      <c r="M87" s="1" t="s">
        <v>177</v>
      </c>
      <c r="N87" s="1" t="s">
        <v>42</v>
      </c>
      <c r="O87" s="1" t="s">
        <v>43</v>
      </c>
      <c r="P87" s="1" t="s">
        <v>120</v>
      </c>
      <c r="Q87" s="1" t="s">
        <v>42</v>
      </c>
      <c r="R87" s="1" t="s">
        <v>755</v>
      </c>
      <c r="S87" s="1" t="s">
        <v>756</v>
      </c>
      <c r="T87" s="1" t="s">
        <v>60</v>
      </c>
      <c r="U87" s="1" t="s">
        <v>757</v>
      </c>
      <c r="V87" s="1" t="s">
        <v>808</v>
      </c>
      <c r="W87" s="1" t="s">
        <v>35</v>
      </c>
      <c r="X87" s="1" t="s">
        <v>35</v>
      </c>
      <c r="Y87" s="1" t="s">
        <v>104</v>
      </c>
      <c r="Z87" s="1" t="s">
        <v>35</v>
      </c>
      <c r="AA87" s="1" t="s">
        <v>35</v>
      </c>
      <c r="AB87" s="1" t="s">
        <v>35</v>
      </c>
      <c r="AC87" s="1" t="s">
        <v>35</v>
      </c>
      <c r="AD87" s="1" t="s">
        <v>35</v>
      </c>
      <c r="AE87" s="1" t="s">
        <v>809</v>
      </c>
      <c r="AF87" s="1" t="s">
        <v>810</v>
      </c>
    </row>
    <row r="88" spans="1:32" x14ac:dyDescent="0.25">
      <c r="A88" s="1" t="s">
        <v>50</v>
      </c>
      <c r="B88" s="1" t="s">
        <v>811</v>
      </c>
      <c r="C88" s="1" t="s">
        <v>812</v>
      </c>
      <c r="D88" s="1" t="s">
        <v>813</v>
      </c>
      <c r="E88" s="24">
        <v>45790</v>
      </c>
      <c r="F88" s="2" t="s">
        <v>103</v>
      </c>
      <c r="G88" s="1" t="s">
        <v>783</v>
      </c>
      <c r="H88" s="1" t="s">
        <v>36</v>
      </c>
      <c r="I88" s="1" t="s">
        <v>37</v>
      </c>
      <c r="J88" s="1" t="s">
        <v>432</v>
      </c>
      <c r="K88" s="1" t="s">
        <v>55</v>
      </c>
      <c r="L88" s="1" t="s">
        <v>432</v>
      </c>
      <c r="M88" s="1" t="s">
        <v>814</v>
      </c>
      <c r="N88" s="1" t="s">
        <v>42</v>
      </c>
      <c r="O88" s="1" t="s">
        <v>43</v>
      </c>
      <c r="P88" s="1" t="s">
        <v>814</v>
      </c>
      <c r="Q88" s="1" t="s">
        <v>42</v>
      </c>
      <c r="R88" s="1" t="s">
        <v>815</v>
      </c>
      <c r="S88" s="1" t="s">
        <v>816</v>
      </c>
      <c r="T88" s="1" t="s">
        <v>46</v>
      </c>
      <c r="U88" s="1" t="s">
        <v>352</v>
      </c>
      <c r="V88" s="1" t="s">
        <v>817</v>
      </c>
      <c r="W88" s="1" t="s">
        <v>35</v>
      </c>
      <c r="X88" s="1" t="s">
        <v>35</v>
      </c>
      <c r="Y88" s="1" t="s">
        <v>49</v>
      </c>
      <c r="Z88" s="1" t="s">
        <v>35</v>
      </c>
      <c r="AA88" s="1" t="s">
        <v>35</v>
      </c>
      <c r="AB88" s="1" t="s">
        <v>35</v>
      </c>
      <c r="AC88" s="1" t="s">
        <v>35</v>
      </c>
      <c r="AD88" s="1" t="s">
        <v>35</v>
      </c>
      <c r="AE88" s="1" t="s">
        <v>818</v>
      </c>
      <c r="AF88" s="1" t="s">
        <v>819</v>
      </c>
    </row>
    <row r="89" spans="1:32" x14ac:dyDescent="0.25">
      <c r="A89" s="1" t="s">
        <v>50</v>
      </c>
      <c r="B89" s="1" t="s">
        <v>820</v>
      </c>
      <c r="C89" s="1" t="s">
        <v>821</v>
      </c>
      <c r="D89" s="1" t="s">
        <v>822</v>
      </c>
      <c r="E89" s="24">
        <v>45791</v>
      </c>
      <c r="F89" s="2" t="s">
        <v>39</v>
      </c>
      <c r="G89" s="1" t="s">
        <v>54</v>
      </c>
      <c r="H89" s="1" t="s">
        <v>36</v>
      </c>
      <c r="I89" s="1" t="s">
        <v>37</v>
      </c>
      <c r="J89" s="1" t="s">
        <v>38</v>
      </c>
      <c r="K89" s="1" t="s">
        <v>55</v>
      </c>
      <c r="L89" s="1" t="s">
        <v>69</v>
      </c>
      <c r="M89" s="1" t="s">
        <v>458</v>
      </c>
      <c r="N89" s="1" t="s">
        <v>42</v>
      </c>
      <c r="O89" s="1" t="s">
        <v>43</v>
      </c>
      <c r="P89" s="1" t="s">
        <v>459</v>
      </c>
      <c r="Q89" s="1" t="s">
        <v>42</v>
      </c>
      <c r="R89" s="1" t="s">
        <v>823</v>
      </c>
      <c r="S89" s="1" t="s">
        <v>824</v>
      </c>
      <c r="T89" s="1" t="s">
        <v>60</v>
      </c>
      <c r="U89" s="1" t="s">
        <v>61</v>
      </c>
      <c r="V89" s="1" t="s">
        <v>825</v>
      </c>
      <c r="W89" s="1" t="s">
        <v>35</v>
      </c>
      <c r="X89" s="1" t="s">
        <v>35</v>
      </c>
      <c r="Y89" s="1" t="s">
        <v>49</v>
      </c>
      <c r="Z89" s="1" t="s">
        <v>35</v>
      </c>
      <c r="AA89" s="1" t="s">
        <v>35</v>
      </c>
      <c r="AB89" s="1" t="s">
        <v>35</v>
      </c>
      <c r="AC89" s="1" t="s">
        <v>35</v>
      </c>
      <c r="AD89" s="1" t="s">
        <v>35</v>
      </c>
      <c r="AE89" s="1" t="s">
        <v>826</v>
      </c>
      <c r="AF89" s="1" t="s">
        <v>827</v>
      </c>
    </row>
    <row r="90" spans="1:32" x14ac:dyDescent="0.25">
      <c r="A90" s="1" t="s">
        <v>65</v>
      </c>
      <c r="B90" s="1" t="s">
        <v>828</v>
      </c>
      <c r="C90" s="1" t="s">
        <v>829</v>
      </c>
      <c r="D90" s="1" t="s">
        <v>830</v>
      </c>
      <c r="E90" s="24">
        <v>45791</v>
      </c>
      <c r="F90" s="2" t="s">
        <v>103</v>
      </c>
      <c r="G90" s="1" t="s">
        <v>54</v>
      </c>
      <c r="H90" s="1" t="s">
        <v>36</v>
      </c>
      <c r="I90" s="1" t="s">
        <v>37</v>
      </c>
      <c r="J90" s="1" t="s">
        <v>38</v>
      </c>
      <c r="K90" s="1" t="s">
        <v>55</v>
      </c>
      <c r="L90" s="1" t="s">
        <v>69</v>
      </c>
      <c r="M90" s="1" t="s">
        <v>56</v>
      </c>
      <c r="N90" s="1" t="s">
        <v>42</v>
      </c>
      <c r="O90" s="1" t="s">
        <v>43</v>
      </c>
      <c r="P90" s="1" t="s">
        <v>158</v>
      </c>
      <c r="Q90" s="1" t="s">
        <v>42</v>
      </c>
      <c r="R90" s="1" t="s">
        <v>538</v>
      </c>
      <c r="S90" s="1" t="s">
        <v>539</v>
      </c>
      <c r="T90" s="1" t="s">
        <v>60</v>
      </c>
      <c r="U90" s="1" t="s">
        <v>145</v>
      </c>
      <c r="V90" s="1" t="s">
        <v>831</v>
      </c>
      <c r="W90" s="1" t="s">
        <v>35</v>
      </c>
      <c r="X90" s="1" t="s">
        <v>35</v>
      </c>
      <c r="Y90" s="1" t="s">
        <v>49</v>
      </c>
      <c r="Z90" s="1" t="s">
        <v>35</v>
      </c>
      <c r="AA90" s="1" t="s">
        <v>35</v>
      </c>
      <c r="AB90" s="1" t="s">
        <v>35</v>
      </c>
      <c r="AC90" s="1" t="s">
        <v>35</v>
      </c>
      <c r="AD90" s="1" t="s">
        <v>35</v>
      </c>
      <c r="AE90" s="1" t="s">
        <v>35</v>
      </c>
      <c r="AF90" s="1" t="s">
        <v>35</v>
      </c>
    </row>
    <row r="91" spans="1:32" x14ac:dyDescent="0.25">
      <c r="A91" s="1" t="s">
        <v>50</v>
      </c>
      <c r="B91" s="1" t="s">
        <v>832</v>
      </c>
      <c r="C91" s="1" t="s">
        <v>833</v>
      </c>
      <c r="D91" s="1" t="s">
        <v>834</v>
      </c>
      <c r="E91" s="24">
        <v>45792</v>
      </c>
      <c r="F91" s="2" t="s">
        <v>234</v>
      </c>
      <c r="G91" s="1" t="s">
        <v>783</v>
      </c>
      <c r="H91" s="1" t="s">
        <v>36</v>
      </c>
      <c r="I91" s="1" t="s">
        <v>37</v>
      </c>
      <c r="J91" s="1" t="s">
        <v>38</v>
      </c>
      <c r="K91" s="1" t="s">
        <v>55</v>
      </c>
      <c r="L91" s="1" t="s">
        <v>69</v>
      </c>
      <c r="M91" s="1" t="s">
        <v>70</v>
      </c>
      <c r="N91" s="1" t="s">
        <v>42</v>
      </c>
      <c r="O91" s="1" t="s">
        <v>43</v>
      </c>
      <c r="P91" s="1" t="s">
        <v>835</v>
      </c>
      <c r="Q91" s="1" t="s">
        <v>42</v>
      </c>
      <c r="R91" s="1" t="s">
        <v>836</v>
      </c>
      <c r="S91" s="1" t="s">
        <v>837</v>
      </c>
      <c r="T91" s="1" t="s">
        <v>46</v>
      </c>
      <c r="U91" s="1" t="s">
        <v>838</v>
      </c>
      <c r="V91" s="1" t="s">
        <v>839</v>
      </c>
      <c r="W91" s="1" t="s">
        <v>35</v>
      </c>
      <c r="X91" s="1" t="s">
        <v>35</v>
      </c>
      <c r="Y91" s="1" t="s">
        <v>49</v>
      </c>
      <c r="Z91" s="1" t="s">
        <v>35</v>
      </c>
      <c r="AA91" s="1" t="s">
        <v>35</v>
      </c>
      <c r="AB91" s="1" t="s">
        <v>35</v>
      </c>
      <c r="AC91" s="1" t="s">
        <v>35</v>
      </c>
      <c r="AD91" s="1" t="s">
        <v>35</v>
      </c>
      <c r="AE91" s="1" t="s">
        <v>840</v>
      </c>
      <c r="AF91" s="1" t="s">
        <v>841</v>
      </c>
    </row>
    <row r="92" spans="1:32" x14ac:dyDescent="0.25">
      <c r="A92" s="1" t="s">
        <v>65</v>
      </c>
      <c r="B92" s="1" t="s">
        <v>842</v>
      </c>
      <c r="C92" s="1" t="s">
        <v>843</v>
      </c>
      <c r="D92" s="1" t="s">
        <v>844</v>
      </c>
      <c r="E92" s="24">
        <v>45794</v>
      </c>
      <c r="F92" s="2" t="s">
        <v>103</v>
      </c>
      <c r="G92" s="1" t="s">
        <v>54</v>
      </c>
      <c r="H92" s="1" t="s">
        <v>36</v>
      </c>
      <c r="I92" s="1" t="s">
        <v>37</v>
      </c>
      <c r="J92" s="1" t="s">
        <v>38</v>
      </c>
      <c r="K92" s="1" t="s">
        <v>55</v>
      </c>
      <c r="L92" s="1" t="s">
        <v>69</v>
      </c>
      <c r="M92" s="1" t="s">
        <v>56</v>
      </c>
      <c r="N92" s="1" t="s">
        <v>42</v>
      </c>
      <c r="O92" s="1" t="s">
        <v>43</v>
      </c>
      <c r="P92" s="1" t="s">
        <v>87</v>
      </c>
      <c r="Q92" s="1" t="s">
        <v>42</v>
      </c>
      <c r="R92" s="1" t="s">
        <v>845</v>
      </c>
      <c r="S92" s="1" t="s">
        <v>197</v>
      </c>
      <c r="T92" s="1" t="s">
        <v>60</v>
      </c>
      <c r="U92" s="1" t="s">
        <v>668</v>
      </c>
      <c r="V92" s="1" t="s">
        <v>846</v>
      </c>
      <c r="W92" s="1" t="s">
        <v>35</v>
      </c>
      <c r="X92" s="1" t="s">
        <v>35</v>
      </c>
      <c r="Y92" s="1" t="s">
        <v>49</v>
      </c>
      <c r="Z92" s="1" t="s">
        <v>35</v>
      </c>
      <c r="AA92" s="1" t="s">
        <v>35</v>
      </c>
      <c r="AB92" s="1" t="s">
        <v>35</v>
      </c>
      <c r="AC92" s="1" t="s">
        <v>35</v>
      </c>
      <c r="AD92" s="1" t="s">
        <v>35</v>
      </c>
      <c r="AE92" s="1" t="s">
        <v>847</v>
      </c>
      <c r="AF92" s="1" t="s">
        <v>848</v>
      </c>
    </row>
    <row r="93" spans="1:32" x14ac:dyDescent="0.25">
      <c r="A93" s="1" t="s">
        <v>105</v>
      </c>
      <c r="B93" s="1" t="s">
        <v>849</v>
      </c>
      <c r="C93" s="1" t="s">
        <v>850</v>
      </c>
      <c r="D93" s="1" t="s">
        <v>851</v>
      </c>
      <c r="E93" s="24">
        <v>45794</v>
      </c>
      <c r="F93" s="2" t="s">
        <v>39</v>
      </c>
      <c r="G93" s="1" t="s">
        <v>35</v>
      </c>
      <c r="H93" s="1" t="s">
        <v>36</v>
      </c>
      <c r="I93" s="1" t="s">
        <v>37</v>
      </c>
      <c r="J93" s="1" t="s">
        <v>38</v>
      </c>
      <c r="K93" s="1" t="s">
        <v>55</v>
      </c>
      <c r="L93" s="1" t="s">
        <v>69</v>
      </c>
      <c r="M93" s="1" t="s">
        <v>119</v>
      </c>
      <c r="N93" s="1" t="s">
        <v>42</v>
      </c>
      <c r="O93" s="1" t="s">
        <v>43</v>
      </c>
      <c r="P93" s="1" t="s">
        <v>852</v>
      </c>
      <c r="Q93" s="1" t="s">
        <v>42</v>
      </c>
      <c r="R93" s="1" t="s">
        <v>853</v>
      </c>
      <c r="S93" s="1" t="s">
        <v>80</v>
      </c>
      <c r="T93" s="1" t="s">
        <v>60</v>
      </c>
      <c r="U93" s="1" t="s">
        <v>112</v>
      </c>
      <c r="V93" s="1" t="s">
        <v>854</v>
      </c>
      <c r="W93" s="1" t="s">
        <v>35</v>
      </c>
      <c r="X93" s="1" t="s">
        <v>35</v>
      </c>
      <c r="Y93" s="1" t="s">
        <v>49</v>
      </c>
      <c r="Z93" s="1" t="s">
        <v>35</v>
      </c>
      <c r="AA93" s="1" t="s">
        <v>35</v>
      </c>
      <c r="AB93" s="1" t="s">
        <v>35</v>
      </c>
      <c r="AC93" s="1" t="s">
        <v>35</v>
      </c>
      <c r="AD93" s="1" t="s">
        <v>35</v>
      </c>
      <c r="AE93" s="1" t="s">
        <v>855</v>
      </c>
      <c r="AF93" s="1" t="s">
        <v>856</v>
      </c>
    </row>
    <row r="94" spans="1:32" x14ac:dyDescent="0.25">
      <c r="A94" s="1" t="s">
        <v>50</v>
      </c>
      <c r="B94" s="1" t="s">
        <v>857</v>
      </c>
      <c r="C94" s="1" t="s">
        <v>858</v>
      </c>
      <c r="D94" s="1" t="s">
        <v>859</v>
      </c>
      <c r="E94" s="24">
        <v>45795</v>
      </c>
      <c r="F94" s="2" t="s">
        <v>103</v>
      </c>
      <c r="G94" s="1" t="s">
        <v>194</v>
      </c>
      <c r="H94" s="1" t="s">
        <v>36</v>
      </c>
      <c r="I94" s="1" t="s">
        <v>37</v>
      </c>
      <c r="J94" s="1" t="s">
        <v>38</v>
      </c>
      <c r="K94" s="1" t="s">
        <v>55</v>
      </c>
      <c r="L94" s="1" t="s">
        <v>242</v>
      </c>
      <c r="M94" s="1" t="s">
        <v>476</v>
      </c>
      <c r="N94" s="1" t="s">
        <v>42</v>
      </c>
      <c r="O94" s="1" t="s">
        <v>43</v>
      </c>
      <c r="P94" s="1" t="s">
        <v>860</v>
      </c>
      <c r="Q94" s="1" t="s">
        <v>42</v>
      </c>
      <c r="R94" s="1" t="s">
        <v>861</v>
      </c>
      <c r="S94" s="1" t="s">
        <v>862</v>
      </c>
      <c r="T94" s="1" t="s">
        <v>60</v>
      </c>
      <c r="U94" s="1" t="s">
        <v>145</v>
      </c>
      <c r="V94" s="1" t="s">
        <v>863</v>
      </c>
      <c r="W94" s="1" t="s">
        <v>35</v>
      </c>
      <c r="X94" s="1" t="s">
        <v>35</v>
      </c>
      <c r="Y94" s="1" t="s">
        <v>49</v>
      </c>
      <c r="Z94" s="1" t="s">
        <v>35</v>
      </c>
      <c r="AA94" s="1" t="s">
        <v>35</v>
      </c>
      <c r="AB94" s="1" t="s">
        <v>35</v>
      </c>
      <c r="AC94" s="1" t="s">
        <v>35</v>
      </c>
      <c r="AD94" s="1" t="s">
        <v>35</v>
      </c>
      <c r="AE94" s="1" t="s">
        <v>864</v>
      </c>
      <c r="AF94" s="1" t="s">
        <v>865</v>
      </c>
    </row>
    <row r="95" spans="1:32" x14ac:dyDescent="0.25">
      <c r="A95" s="1" t="s">
        <v>65</v>
      </c>
      <c r="B95" s="1" t="s">
        <v>866</v>
      </c>
      <c r="C95" s="1" t="s">
        <v>867</v>
      </c>
      <c r="D95" s="1" t="s">
        <v>868</v>
      </c>
      <c r="E95" s="24">
        <v>45796</v>
      </c>
      <c r="F95" s="2" t="s">
        <v>103</v>
      </c>
      <c r="G95" s="1" t="s">
        <v>54</v>
      </c>
      <c r="H95" s="1" t="s">
        <v>36</v>
      </c>
      <c r="I95" s="1" t="s">
        <v>37</v>
      </c>
      <c r="J95" s="1" t="s">
        <v>38</v>
      </c>
      <c r="K95" s="1" t="s">
        <v>55</v>
      </c>
      <c r="L95" s="1" t="s">
        <v>176</v>
      </c>
      <c r="M95" s="1" t="s">
        <v>869</v>
      </c>
      <c r="N95" s="1" t="s">
        <v>42</v>
      </c>
      <c r="O95" s="1" t="s">
        <v>43</v>
      </c>
      <c r="P95" s="1" t="s">
        <v>120</v>
      </c>
      <c r="Q95" s="1" t="s">
        <v>42</v>
      </c>
      <c r="R95" s="1" t="s">
        <v>870</v>
      </c>
      <c r="S95" s="1" t="s">
        <v>135</v>
      </c>
      <c r="T95" s="1" t="s">
        <v>60</v>
      </c>
      <c r="U95" s="1" t="s">
        <v>61</v>
      </c>
      <c r="V95" s="1" t="s">
        <v>871</v>
      </c>
      <c r="W95" s="1" t="s">
        <v>35</v>
      </c>
      <c r="X95" s="1" t="s">
        <v>35</v>
      </c>
      <c r="Y95" s="1" t="s">
        <v>49</v>
      </c>
      <c r="Z95" s="1" t="s">
        <v>35</v>
      </c>
      <c r="AA95" s="1" t="s">
        <v>35</v>
      </c>
      <c r="AB95" s="1" t="s">
        <v>35</v>
      </c>
      <c r="AC95" s="1" t="s">
        <v>35</v>
      </c>
      <c r="AD95" s="1" t="s">
        <v>35</v>
      </c>
      <c r="AE95" s="1" t="s">
        <v>872</v>
      </c>
      <c r="AF95" s="1" t="s">
        <v>873</v>
      </c>
    </row>
    <row r="96" spans="1:32" x14ac:dyDescent="0.25">
      <c r="A96" s="1" t="s">
        <v>50</v>
      </c>
      <c r="B96" s="1" t="s">
        <v>876</v>
      </c>
      <c r="C96" s="1" t="s">
        <v>877</v>
      </c>
      <c r="D96" s="1" t="s">
        <v>878</v>
      </c>
      <c r="E96" s="24">
        <v>45797</v>
      </c>
      <c r="F96" s="2" t="s">
        <v>39</v>
      </c>
      <c r="G96" s="1" t="s">
        <v>783</v>
      </c>
      <c r="H96" s="1" t="s">
        <v>36</v>
      </c>
      <c r="I96" s="1" t="s">
        <v>37</v>
      </c>
      <c r="J96" s="1" t="s">
        <v>38</v>
      </c>
      <c r="K96" s="1" t="s">
        <v>39</v>
      </c>
      <c r="L96" s="1" t="s">
        <v>308</v>
      </c>
      <c r="M96" s="1" t="s">
        <v>70</v>
      </c>
      <c r="N96" s="1" t="s">
        <v>42</v>
      </c>
      <c r="O96" s="1" t="s">
        <v>43</v>
      </c>
      <c r="P96" s="1" t="s">
        <v>70</v>
      </c>
      <c r="Q96" s="1" t="s">
        <v>42</v>
      </c>
      <c r="R96" s="1" t="s">
        <v>879</v>
      </c>
      <c r="S96" s="1" t="s">
        <v>409</v>
      </c>
      <c r="T96" s="1" t="s">
        <v>60</v>
      </c>
      <c r="U96" s="1" t="s">
        <v>757</v>
      </c>
      <c r="V96" s="1" t="s">
        <v>880</v>
      </c>
      <c r="W96" s="1" t="s">
        <v>35</v>
      </c>
      <c r="X96" s="1" t="s">
        <v>35</v>
      </c>
      <c r="Y96" s="1" t="s">
        <v>104</v>
      </c>
      <c r="Z96" s="1" t="s">
        <v>35</v>
      </c>
      <c r="AA96" s="1" t="s">
        <v>35</v>
      </c>
      <c r="AB96" s="1" t="s">
        <v>35</v>
      </c>
      <c r="AC96" s="1" t="s">
        <v>35</v>
      </c>
      <c r="AD96" s="1" t="s">
        <v>35</v>
      </c>
      <c r="AE96" s="1" t="s">
        <v>881</v>
      </c>
      <c r="AF96" s="1" t="s">
        <v>882</v>
      </c>
    </row>
    <row r="97" spans="1:32" x14ac:dyDescent="0.25">
      <c r="A97" s="1" t="s">
        <v>65</v>
      </c>
      <c r="B97" s="1" t="s">
        <v>883</v>
      </c>
      <c r="C97" s="1" t="s">
        <v>884</v>
      </c>
      <c r="D97" s="1" t="s">
        <v>885</v>
      </c>
      <c r="E97" s="24">
        <v>45798</v>
      </c>
      <c r="F97" s="2" t="s">
        <v>103</v>
      </c>
      <c r="G97" s="1" t="s">
        <v>54</v>
      </c>
      <c r="H97" s="1" t="s">
        <v>36</v>
      </c>
      <c r="I97" s="1" t="s">
        <v>37</v>
      </c>
      <c r="J97" s="1" t="s">
        <v>38</v>
      </c>
      <c r="K97" s="1" t="s">
        <v>55</v>
      </c>
      <c r="L97" s="1" t="s">
        <v>69</v>
      </c>
      <c r="M97" s="1" t="s">
        <v>56</v>
      </c>
      <c r="N97" s="1" t="s">
        <v>42</v>
      </c>
      <c r="O97" s="1" t="s">
        <v>43</v>
      </c>
      <c r="P97" s="1" t="s">
        <v>886</v>
      </c>
      <c r="Q97" s="1" t="s">
        <v>42</v>
      </c>
      <c r="R97" s="1" t="s">
        <v>887</v>
      </c>
      <c r="S97" s="1" t="s">
        <v>167</v>
      </c>
      <c r="T97" s="1" t="s">
        <v>60</v>
      </c>
      <c r="U97" s="1" t="s">
        <v>61</v>
      </c>
      <c r="V97" s="1" t="s">
        <v>888</v>
      </c>
      <c r="W97" s="1" t="s">
        <v>35</v>
      </c>
      <c r="X97" s="1" t="s">
        <v>35</v>
      </c>
      <c r="Y97" s="1" t="s">
        <v>49</v>
      </c>
      <c r="Z97" s="1" t="s">
        <v>35</v>
      </c>
      <c r="AA97" s="1" t="s">
        <v>35</v>
      </c>
      <c r="AB97" s="1" t="s">
        <v>35</v>
      </c>
      <c r="AC97" s="1" t="s">
        <v>587</v>
      </c>
      <c r="AD97" s="1" t="s">
        <v>889</v>
      </c>
      <c r="AE97" s="1" t="s">
        <v>890</v>
      </c>
      <c r="AF97" s="1" t="s">
        <v>891</v>
      </c>
    </row>
    <row r="98" spans="1:32" x14ac:dyDescent="0.25">
      <c r="A98" s="1" t="s">
        <v>65</v>
      </c>
      <c r="B98" s="1" t="s">
        <v>892</v>
      </c>
      <c r="C98" s="1" t="s">
        <v>893</v>
      </c>
      <c r="D98" s="1" t="s">
        <v>894</v>
      </c>
      <c r="E98" s="24">
        <v>45799</v>
      </c>
      <c r="F98" s="2" t="s">
        <v>103</v>
      </c>
      <c r="G98" s="1" t="s">
        <v>54</v>
      </c>
      <c r="H98" s="1" t="s">
        <v>36</v>
      </c>
      <c r="I98" s="1" t="s">
        <v>37</v>
      </c>
      <c r="J98" s="1" t="s">
        <v>38</v>
      </c>
      <c r="K98" s="1" t="s">
        <v>55</v>
      </c>
      <c r="L98" s="1" t="s">
        <v>69</v>
      </c>
      <c r="M98" s="1" t="s">
        <v>56</v>
      </c>
      <c r="N98" s="1" t="s">
        <v>42</v>
      </c>
      <c r="O98" s="1" t="s">
        <v>43</v>
      </c>
      <c r="P98" s="1" t="s">
        <v>158</v>
      </c>
      <c r="Q98" s="1" t="s">
        <v>42</v>
      </c>
      <c r="R98" s="1" t="s">
        <v>895</v>
      </c>
      <c r="S98" s="1" t="s">
        <v>135</v>
      </c>
      <c r="T98" s="1" t="s">
        <v>60</v>
      </c>
      <c r="U98" s="1" t="s">
        <v>896</v>
      </c>
      <c r="V98" s="1" t="s">
        <v>897</v>
      </c>
      <c r="W98" s="1" t="s">
        <v>35</v>
      </c>
      <c r="X98" s="1" t="s">
        <v>35</v>
      </c>
      <c r="Y98" s="1" t="s">
        <v>49</v>
      </c>
      <c r="Z98" s="1" t="s">
        <v>35</v>
      </c>
      <c r="AA98" s="1" t="s">
        <v>35</v>
      </c>
      <c r="AB98" s="1" t="s">
        <v>35</v>
      </c>
      <c r="AC98" s="1" t="s">
        <v>35</v>
      </c>
      <c r="AD98" s="1" t="s">
        <v>35</v>
      </c>
      <c r="AE98" s="1" t="s">
        <v>898</v>
      </c>
      <c r="AF98" s="1" t="s">
        <v>899</v>
      </c>
    </row>
    <row r="99" spans="1:32" x14ac:dyDescent="0.25">
      <c r="A99" s="1" t="s">
        <v>50</v>
      </c>
      <c r="B99" s="1" t="s">
        <v>900</v>
      </c>
      <c r="C99" s="1" t="s">
        <v>901</v>
      </c>
      <c r="D99" s="1" t="s">
        <v>902</v>
      </c>
      <c r="E99" s="24">
        <v>45799</v>
      </c>
      <c r="F99" s="2" t="s">
        <v>39</v>
      </c>
      <c r="G99" s="1" t="s">
        <v>783</v>
      </c>
      <c r="H99" s="1" t="s">
        <v>36</v>
      </c>
      <c r="I99" s="1" t="s">
        <v>37</v>
      </c>
      <c r="J99" s="1" t="s">
        <v>432</v>
      </c>
      <c r="K99" s="1" t="s">
        <v>39</v>
      </c>
      <c r="L99" s="1" t="s">
        <v>40</v>
      </c>
      <c r="M99" s="1" t="s">
        <v>407</v>
      </c>
      <c r="N99" s="1" t="s">
        <v>42</v>
      </c>
      <c r="O99" s="1" t="s">
        <v>43</v>
      </c>
      <c r="P99" s="1" t="s">
        <v>407</v>
      </c>
      <c r="Q99" s="1" t="s">
        <v>42</v>
      </c>
      <c r="R99" s="1" t="s">
        <v>903</v>
      </c>
      <c r="S99" s="1" t="s">
        <v>904</v>
      </c>
      <c r="T99" s="1" t="s">
        <v>60</v>
      </c>
      <c r="U99" s="1" t="s">
        <v>757</v>
      </c>
      <c r="V99" s="1" t="s">
        <v>905</v>
      </c>
      <c r="W99" s="1" t="s">
        <v>35</v>
      </c>
      <c r="X99" s="1" t="s">
        <v>35</v>
      </c>
      <c r="Y99" s="1" t="s">
        <v>104</v>
      </c>
      <c r="Z99" s="1" t="s">
        <v>35</v>
      </c>
      <c r="AA99" s="1" t="s">
        <v>35</v>
      </c>
      <c r="AB99" s="1" t="s">
        <v>35</v>
      </c>
      <c r="AC99" s="1" t="s">
        <v>35</v>
      </c>
      <c r="AD99" s="1" t="s">
        <v>35</v>
      </c>
      <c r="AE99" s="1" t="s">
        <v>906</v>
      </c>
      <c r="AF99" s="1" t="s">
        <v>907</v>
      </c>
    </row>
    <row r="100" spans="1:32" x14ac:dyDescent="0.25">
      <c r="A100" s="1" t="s">
        <v>50</v>
      </c>
      <c r="B100" s="1" t="s">
        <v>908</v>
      </c>
      <c r="C100" s="1" t="s">
        <v>909</v>
      </c>
      <c r="D100" s="1" t="s">
        <v>910</v>
      </c>
      <c r="E100" s="24">
        <v>45800</v>
      </c>
      <c r="F100" s="2" t="s">
        <v>103</v>
      </c>
      <c r="G100" s="1" t="s">
        <v>911</v>
      </c>
      <c r="H100" s="1" t="s">
        <v>36</v>
      </c>
      <c r="I100" s="1" t="s">
        <v>37</v>
      </c>
      <c r="J100" s="1" t="s">
        <v>38</v>
      </c>
      <c r="K100" s="1" t="s">
        <v>55</v>
      </c>
      <c r="L100" s="1" t="s">
        <v>242</v>
      </c>
      <c r="M100" s="1" t="s">
        <v>119</v>
      </c>
      <c r="N100" s="1" t="s">
        <v>42</v>
      </c>
      <c r="O100" s="1" t="s">
        <v>43</v>
      </c>
      <c r="P100" s="1" t="s">
        <v>860</v>
      </c>
      <c r="Q100" s="1" t="s">
        <v>42</v>
      </c>
      <c r="R100" s="1" t="s">
        <v>912</v>
      </c>
      <c r="S100" s="1" t="s">
        <v>586</v>
      </c>
      <c r="T100" s="1" t="s">
        <v>60</v>
      </c>
      <c r="U100" s="1" t="s">
        <v>61</v>
      </c>
      <c r="V100" s="1" t="s">
        <v>913</v>
      </c>
      <c r="W100" s="1" t="s">
        <v>35</v>
      </c>
      <c r="X100" s="1" t="s">
        <v>35</v>
      </c>
      <c r="Y100" s="1" t="s">
        <v>49</v>
      </c>
      <c r="Z100" s="1" t="s">
        <v>35</v>
      </c>
      <c r="AA100" s="1" t="s">
        <v>35</v>
      </c>
      <c r="AB100" s="1" t="s">
        <v>35</v>
      </c>
      <c r="AC100" s="1" t="s">
        <v>35</v>
      </c>
      <c r="AD100" s="1" t="s">
        <v>35</v>
      </c>
      <c r="AE100" s="1" t="s">
        <v>914</v>
      </c>
      <c r="AF100" s="1" t="s">
        <v>915</v>
      </c>
    </row>
    <row r="101" spans="1:32" x14ac:dyDescent="0.25">
      <c r="A101" s="1" t="s">
        <v>65</v>
      </c>
      <c r="B101" s="1" t="s">
        <v>916</v>
      </c>
      <c r="C101" s="1" t="s">
        <v>917</v>
      </c>
      <c r="D101" s="1" t="s">
        <v>918</v>
      </c>
      <c r="E101" s="2">
        <v>45802</v>
      </c>
      <c r="F101" s="2" t="s">
        <v>102</v>
      </c>
      <c r="G101" s="1" t="s">
        <v>54</v>
      </c>
      <c r="H101" s="1" t="s">
        <v>36</v>
      </c>
      <c r="I101" s="1" t="s">
        <v>37</v>
      </c>
      <c r="J101" s="1" t="s">
        <v>38</v>
      </c>
      <c r="K101" s="1" t="s">
        <v>55</v>
      </c>
      <c r="L101" s="1" t="s">
        <v>69</v>
      </c>
      <c r="M101" s="1" t="s">
        <v>56</v>
      </c>
      <c r="N101" s="1" t="s">
        <v>42</v>
      </c>
      <c r="O101" s="1" t="s">
        <v>43</v>
      </c>
      <c r="P101" s="1" t="s">
        <v>616</v>
      </c>
      <c r="Q101" s="1" t="s">
        <v>42</v>
      </c>
      <c r="R101" s="1" t="s">
        <v>919</v>
      </c>
      <c r="S101" s="1" t="s">
        <v>667</v>
      </c>
      <c r="T101" s="1" t="s">
        <v>60</v>
      </c>
      <c r="U101" s="1" t="s">
        <v>61</v>
      </c>
      <c r="V101" s="1" t="s">
        <v>920</v>
      </c>
      <c r="W101" s="1" t="s">
        <v>35</v>
      </c>
      <c r="X101" s="1" t="s">
        <v>35</v>
      </c>
      <c r="Y101" s="1" t="s">
        <v>49</v>
      </c>
      <c r="Z101" s="1" t="s">
        <v>35</v>
      </c>
      <c r="AA101" s="1" t="s">
        <v>35</v>
      </c>
      <c r="AB101" s="1" t="s">
        <v>35</v>
      </c>
      <c r="AC101" s="1" t="s">
        <v>921</v>
      </c>
      <c r="AD101" s="1" t="s">
        <v>922</v>
      </c>
      <c r="AE101" s="1" t="s">
        <v>923</v>
      </c>
      <c r="AF101" s="1" t="s">
        <v>924</v>
      </c>
    </row>
    <row r="102" spans="1:32" x14ac:dyDescent="0.25">
      <c r="A102" s="1" t="s">
        <v>65</v>
      </c>
      <c r="B102" s="1" t="s">
        <v>925</v>
      </c>
      <c r="C102" s="1" t="s">
        <v>926</v>
      </c>
      <c r="D102" s="1" t="s">
        <v>927</v>
      </c>
      <c r="E102" s="24">
        <v>45806</v>
      </c>
      <c r="F102" s="2" t="s">
        <v>102</v>
      </c>
      <c r="G102" s="1" t="s">
        <v>194</v>
      </c>
      <c r="H102" s="1" t="s">
        <v>36</v>
      </c>
      <c r="I102" s="1" t="s">
        <v>37</v>
      </c>
      <c r="J102" s="1" t="s">
        <v>38</v>
      </c>
      <c r="K102" s="1" t="s">
        <v>55</v>
      </c>
      <c r="L102" s="1" t="s">
        <v>40</v>
      </c>
      <c r="M102" s="1" t="s">
        <v>754</v>
      </c>
      <c r="N102" s="1" t="s">
        <v>42</v>
      </c>
      <c r="O102" s="1" t="s">
        <v>43</v>
      </c>
      <c r="P102" s="1" t="s">
        <v>754</v>
      </c>
      <c r="Q102" s="1" t="s">
        <v>42</v>
      </c>
      <c r="R102" s="1" t="s">
        <v>928</v>
      </c>
      <c r="S102" s="1" t="s">
        <v>72</v>
      </c>
      <c r="T102" s="1" t="s">
        <v>60</v>
      </c>
      <c r="U102" s="1" t="s">
        <v>123</v>
      </c>
      <c r="V102" s="1" t="s">
        <v>929</v>
      </c>
      <c r="W102" s="1" t="s">
        <v>35</v>
      </c>
      <c r="X102" s="1" t="s">
        <v>35</v>
      </c>
      <c r="Y102" s="1" t="s">
        <v>104</v>
      </c>
      <c r="Z102" s="1" t="s">
        <v>35</v>
      </c>
      <c r="AA102" s="1" t="s">
        <v>35</v>
      </c>
      <c r="AB102" s="1" t="s">
        <v>35</v>
      </c>
      <c r="AC102" s="1" t="s">
        <v>35</v>
      </c>
      <c r="AD102" s="1" t="s">
        <v>35</v>
      </c>
      <c r="AE102" s="1" t="s">
        <v>930</v>
      </c>
      <c r="AF102" s="1" t="s">
        <v>931</v>
      </c>
    </row>
    <row r="103" spans="1:32" x14ac:dyDescent="0.25">
      <c r="A103" s="1" t="s">
        <v>50</v>
      </c>
      <c r="B103" s="1" t="s">
        <v>932</v>
      </c>
      <c r="C103" s="1" t="s">
        <v>933</v>
      </c>
      <c r="D103" s="1" t="s">
        <v>934</v>
      </c>
      <c r="E103" s="24">
        <v>45806</v>
      </c>
      <c r="F103" s="2" t="s">
        <v>39</v>
      </c>
      <c r="G103" s="1" t="s">
        <v>783</v>
      </c>
      <c r="H103" s="1" t="s">
        <v>36</v>
      </c>
      <c r="I103" s="1" t="s">
        <v>37</v>
      </c>
      <c r="J103" s="1" t="s">
        <v>432</v>
      </c>
      <c r="K103" s="1" t="s">
        <v>39</v>
      </c>
      <c r="L103" s="1" t="s">
        <v>40</v>
      </c>
      <c r="M103" s="1" t="s">
        <v>407</v>
      </c>
      <c r="N103" s="1" t="s">
        <v>42</v>
      </c>
      <c r="O103" s="1" t="s">
        <v>43</v>
      </c>
      <c r="P103" s="1" t="s">
        <v>119</v>
      </c>
      <c r="Q103" s="1" t="s">
        <v>42</v>
      </c>
      <c r="R103" s="1" t="s">
        <v>935</v>
      </c>
      <c r="S103" s="1" t="s">
        <v>555</v>
      </c>
      <c r="T103" s="1" t="s">
        <v>60</v>
      </c>
      <c r="U103" s="1" t="s">
        <v>757</v>
      </c>
      <c r="V103" s="1" t="s">
        <v>936</v>
      </c>
      <c r="W103" s="1" t="s">
        <v>35</v>
      </c>
      <c r="X103" s="1" t="s">
        <v>35</v>
      </c>
      <c r="Y103" s="1" t="s">
        <v>49</v>
      </c>
      <c r="Z103" s="1" t="s">
        <v>35</v>
      </c>
      <c r="AA103" s="1" t="s">
        <v>35</v>
      </c>
      <c r="AB103" s="1" t="s">
        <v>35</v>
      </c>
      <c r="AC103" s="1" t="s">
        <v>35</v>
      </c>
      <c r="AD103" s="1" t="s">
        <v>35</v>
      </c>
      <c r="AE103" s="1" t="s">
        <v>937</v>
      </c>
      <c r="AF103" s="1" t="s">
        <v>938</v>
      </c>
    </row>
    <row r="104" spans="1:32" x14ac:dyDescent="0.25">
      <c r="A104" s="1" t="s">
        <v>50</v>
      </c>
      <c r="B104" s="1" t="s">
        <v>939</v>
      </c>
      <c r="C104" s="1" t="s">
        <v>940</v>
      </c>
      <c r="D104" s="1" t="s">
        <v>941</v>
      </c>
      <c r="E104" s="24">
        <v>45807</v>
      </c>
      <c r="F104" s="2" t="s">
        <v>39</v>
      </c>
      <c r="G104" s="1" t="s">
        <v>194</v>
      </c>
      <c r="H104" s="1" t="s">
        <v>36</v>
      </c>
      <c r="I104" s="1" t="s">
        <v>37</v>
      </c>
      <c r="J104" s="1" t="s">
        <v>38</v>
      </c>
      <c r="K104" s="1" t="s">
        <v>39</v>
      </c>
      <c r="L104" s="1" t="s">
        <v>807</v>
      </c>
      <c r="M104" s="1" t="s">
        <v>119</v>
      </c>
      <c r="N104" s="1" t="s">
        <v>42</v>
      </c>
      <c r="O104" s="1" t="s">
        <v>43</v>
      </c>
      <c r="P104" s="1" t="s">
        <v>433</v>
      </c>
      <c r="Q104" s="1" t="s">
        <v>42</v>
      </c>
      <c r="R104" s="1" t="s">
        <v>935</v>
      </c>
      <c r="S104" s="1" t="s">
        <v>555</v>
      </c>
      <c r="T104" s="1" t="s">
        <v>60</v>
      </c>
      <c r="U104" s="1" t="s">
        <v>757</v>
      </c>
      <c r="V104" s="1" t="s">
        <v>942</v>
      </c>
      <c r="W104" s="1" t="s">
        <v>35</v>
      </c>
      <c r="X104" s="1" t="s">
        <v>35</v>
      </c>
      <c r="Y104" s="1" t="s">
        <v>104</v>
      </c>
      <c r="Z104" s="1" t="s">
        <v>35</v>
      </c>
      <c r="AA104" s="1" t="s">
        <v>35</v>
      </c>
      <c r="AB104" s="1" t="s">
        <v>35</v>
      </c>
      <c r="AC104" s="1" t="s">
        <v>35</v>
      </c>
      <c r="AD104" s="1" t="s">
        <v>35</v>
      </c>
      <c r="AE104" s="1" t="s">
        <v>35</v>
      </c>
      <c r="AF104" s="1" t="s">
        <v>35</v>
      </c>
    </row>
    <row r="105" spans="1:32" x14ac:dyDescent="0.25">
      <c r="A105" s="1" t="s">
        <v>65</v>
      </c>
      <c r="B105" s="1" t="s">
        <v>943</v>
      </c>
      <c r="C105" s="1" t="s">
        <v>944</v>
      </c>
      <c r="D105" s="1" t="s">
        <v>945</v>
      </c>
      <c r="E105" s="24">
        <v>45808</v>
      </c>
      <c r="F105" s="2" t="s">
        <v>103</v>
      </c>
      <c r="G105" s="1" t="s">
        <v>54</v>
      </c>
      <c r="H105" s="1" t="s">
        <v>36</v>
      </c>
      <c r="I105" s="1" t="s">
        <v>37</v>
      </c>
      <c r="J105" s="1" t="s">
        <v>38</v>
      </c>
      <c r="K105" s="1" t="s">
        <v>55</v>
      </c>
      <c r="L105" s="1" t="s">
        <v>69</v>
      </c>
      <c r="M105" s="1" t="s">
        <v>56</v>
      </c>
      <c r="N105" s="1" t="s">
        <v>42</v>
      </c>
      <c r="O105" s="1" t="s">
        <v>43</v>
      </c>
      <c r="P105" s="1" t="s">
        <v>331</v>
      </c>
      <c r="Q105" s="1" t="s">
        <v>42</v>
      </c>
      <c r="R105" s="1" t="s">
        <v>946</v>
      </c>
      <c r="S105" s="1" t="s">
        <v>667</v>
      </c>
      <c r="T105" s="1" t="s">
        <v>60</v>
      </c>
      <c r="U105" s="1" t="s">
        <v>668</v>
      </c>
      <c r="V105" s="1" t="s">
        <v>947</v>
      </c>
      <c r="W105" s="1" t="s">
        <v>35</v>
      </c>
      <c r="X105" s="1" t="s">
        <v>35</v>
      </c>
      <c r="Y105" s="1" t="s">
        <v>49</v>
      </c>
      <c r="Z105" s="1" t="s">
        <v>35</v>
      </c>
      <c r="AA105" s="1" t="s">
        <v>35</v>
      </c>
      <c r="AB105" s="1" t="s">
        <v>35</v>
      </c>
      <c r="AC105" s="1" t="s">
        <v>35</v>
      </c>
      <c r="AD105" s="1" t="s">
        <v>35</v>
      </c>
      <c r="AE105" s="1" t="s">
        <v>948</v>
      </c>
      <c r="AF105" s="1" t="s">
        <v>949</v>
      </c>
    </row>
    <row r="106" spans="1:32" x14ac:dyDescent="0.25">
      <c r="A106" s="1" t="s">
        <v>50</v>
      </c>
      <c r="B106" s="1" t="s">
        <v>950</v>
      </c>
      <c r="C106" s="1" t="s">
        <v>951</v>
      </c>
      <c r="D106" s="1" t="s">
        <v>952</v>
      </c>
      <c r="E106" s="24">
        <v>45812</v>
      </c>
      <c r="F106" s="2" t="s">
        <v>102</v>
      </c>
      <c r="G106" s="1" t="s">
        <v>54</v>
      </c>
      <c r="H106" s="1" t="s">
        <v>36</v>
      </c>
      <c r="I106" s="1" t="s">
        <v>37</v>
      </c>
      <c r="J106" s="1" t="s">
        <v>38</v>
      </c>
      <c r="K106" s="1" t="s">
        <v>55</v>
      </c>
      <c r="L106" s="1" t="s">
        <v>69</v>
      </c>
      <c r="M106" s="1" t="s">
        <v>56</v>
      </c>
      <c r="N106" s="1" t="s">
        <v>42</v>
      </c>
      <c r="O106" s="1" t="s">
        <v>43</v>
      </c>
      <c r="P106" s="1" t="s">
        <v>399</v>
      </c>
      <c r="Q106" s="1" t="s">
        <v>42</v>
      </c>
      <c r="R106" s="1" t="s">
        <v>953</v>
      </c>
      <c r="S106" s="1" t="s">
        <v>954</v>
      </c>
      <c r="T106" s="1" t="s">
        <v>60</v>
      </c>
      <c r="U106" s="1" t="s">
        <v>215</v>
      </c>
      <c r="V106" s="1" t="s">
        <v>955</v>
      </c>
      <c r="W106" s="1" t="s">
        <v>35</v>
      </c>
      <c r="X106" s="1" t="s">
        <v>35</v>
      </c>
      <c r="Y106" s="1" t="s">
        <v>49</v>
      </c>
      <c r="Z106" s="1" t="s">
        <v>35</v>
      </c>
      <c r="AA106" s="1" t="s">
        <v>35</v>
      </c>
      <c r="AB106" s="1" t="s">
        <v>35</v>
      </c>
      <c r="AC106" s="1" t="s">
        <v>35</v>
      </c>
      <c r="AD106" s="1" t="s">
        <v>35</v>
      </c>
      <c r="AE106" s="1" t="s">
        <v>956</v>
      </c>
      <c r="AF106" s="1" t="s">
        <v>957</v>
      </c>
    </row>
    <row r="107" spans="1:32" x14ac:dyDescent="0.25">
      <c r="A107" s="1" t="s">
        <v>65</v>
      </c>
      <c r="B107" s="1" t="s">
        <v>958</v>
      </c>
      <c r="C107" s="1" t="s">
        <v>959</v>
      </c>
      <c r="D107" s="1" t="s">
        <v>960</v>
      </c>
      <c r="E107" s="24">
        <v>45813</v>
      </c>
      <c r="F107" s="2" t="s">
        <v>103</v>
      </c>
      <c r="G107" s="1" t="s">
        <v>194</v>
      </c>
      <c r="H107" s="1" t="s">
        <v>36</v>
      </c>
      <c r="I107" s="1" t="s">
        <v>37</v>
      </c>
      <c r="J107" s="1" t="s">
        <v>38</v>
      </c>
      <c r="K107" s="1" t="s">
        <v>55</v>
      </c>
      <c r="L107" s="1" t="s">
        <v>69</v>
      </c>
      <c r="M107" s="1" t="s">
        <v>264</v>
      </c>
      <c r="N107" s="1" t="s">
        <v>42</v>
      </c>
      <c r="O107" s="1" t="s">
        <v>43</v>
      </c>
      <c r="P107" s="1" t="s">
        <v>961</v>
      </c>
      <c r="Q107" s="1" t="s">
        <v>42</v>
      </c>
      <c r="R107" s="1" t="s">
        <v>143</v>
      </c>
      <c r="S107" s="1" t="s">
        <v>144</v>
      </c>
      <c r="T107" s="1" t="s">
        <v>60</v>
      </c>
      <c r="U107" s="1" t="s">
        <v>145</v>
      </c>
      <c r="V107" s="1" t="s">
        <v>962</v>
      </c>
      <c r="W107" s="1" t="s">
        <v>35</v>
      </c>
      <c r="X107" s="1" t="s">
        <v>35</v>
      </c>
      <c r="Y107" s="1" t="s">
        <v>104</v>
      </c>
      <c r="Z107" s="1" t="s">
        <v>35</v>
      </c>
      <c r="AA107" s="1" t="s">
        <v>35</v>
      </c>
      <c r="AB107" s="1" t="s">
        <v>35</v>
      </c>
      <c r="AC107" s="1" t="s">
        <v>35</v>
      </c>
      <c r="AD107" s="1" t="s">
        <v>35</v>
      </c>
      <c r="AE107" s="1" t="s">
        <v>963</v>
      </c>
      <c r="AF107" s="1" t="s">
        <v>964</v>
      </c>
    </row>
    <row r="108" spans="1:32" x14ac:dyDescent="0.25">
      <c r="A108" s="1" t="s">
        <v>65</v>
      </c>
      <c r="B108" s="1" t="s">
        <v>965</v>
      </c>
      <c r="C108" s="1" t="s">
        <v>966</v>
      </c>
      <c r="D108" s="1" t="s">
        <v>967</v>
      </c>
      <c r="E108" s="24">
        <v>45814</v>
      </c>
      <c r="F108" s="2" t="s">
        <v>103</v>
      </c>
      <c r="G108" s="1" t="s">
        <v>54</v>
      </c>
      <c r="H108" s="1" t="s">
        <v>36</v>
      </c>
      <c r="I108" s="1" t="s">
        <v>37</v>
      </c>
      <c r="J108" s="1" t="s">
        <v>38</v>
      </c>
      <c r="K108" s="1" t="s">
        <v>55</v>
      </c>
      <c r="L108" s="1" t="s">
        <v>69</v>
      </c>
      <c r="M108" s="1" t="s">
        <v>56</v>
      </c>
      <c r="N108" s="1" t="s">
        <v>42</v>
      </c>
      <c r="O108" s="1" t="s">
        <v>43</v>
      </c>
      <c r="P108" s="1" t="s">
        <v>860</v>
      </c>
      <c r="Q108" s="1" t="s">
        <v>42</v>
      </c>
      <c r="R108" s="1" t="s">
        <v>968</v>
      </c>
      <c r="S108" s="1" t="s">
        <v>969</v>
      </c>
      <c r="T108" s="1" t="s">
        <v>60</v>
      </c>
      <c r="U108" s="1" t="s">
        <v>61</v>
      </c>
      <c r="V108" s="1" t="s">
        <v>970</v>
      </c>
      <c r="W108" s="1" t="s">
        <v>35</v>
      </c>
      <c r="X108" s="1" t="s">
        <v>35</v>
      </c>
      <c r="Y108" s="1" t="s">
        <v>49</v>
      </c>
      <c r="Z108" s="1" t="s">
        <v>35</v>
      </c>
      <c r="AA108" s="1" t="s">
        <v>35</v>
      </c>
      <c r="AB108" s="1" t="s">
        <v>35</v>
      </c>
      <c r="AC108" s="1" t="s">
        <v>35</v>
      </c>
      <c r="AD108" s="1" t="s">
        <v>35</v>
      </c>
      <c r="AE108" s="1" t="s">
        <v>971</v>
      </c>
      <c r="AF108" s="1" t="s">
        <v>972</v>
      </c>
    </row>
    <row r="109" spans="1:32" x14ac:dyDescent="0.25">
      <c r="A109" s="1" t="s">
        <v>105</v>
      </c>
      <c r="B109" s="1" t="s">
        <v>973</v>
      </c>
      <c r="C109" s="1" t="s">
        <v>974</v>
      </c>
      <c r="D109" s="1" t="s">
        <v>975</v>
      </c>
      <c r="E109" s="24">
        <v>45817</v>
      </c>
      <c r="F109" s="2" t="s">
        <v>39</v>
      </c>
      <c r="G109" s="1" t="s">
        <v>806</v>
      </c>
      <c r="H109" s="1" t="s">
        <v>36</v>
      </c>
      <c r="I109" s="1" t="s">
        <v>37</v>
      </c>
      <c r="J109" s="1" t="s">
        <v>38</v>
      </c>
      <c r="K109" s="1" t="s">
        <v>39</v>
      </c>
      <c r="L109" s="1" t="s">
        <v>807</v>
      </c>
      <c r="M109" s="1" t="s">
        <v>56</v>
      </c>
      <c r="N109" s="1" t="s">
        <v>42</v>
      </c>
      <c r="O109" s="1" t="s">
        <v>43</v>
      </c>
      <c r="P109" s="1" t="s">
        <v>976</v>
      </c>
      <c r="Q109" s="1" t="s">
        <v>42</v>
      </c>
      <c r="R109" s="1" t="s">
        <v>977</v>
      </c>
      <c r="S109" s="1" t="s">
        <v>978</v>
      </c>
      <c r="T109" s="1" t="s">
        <v>60</v>
      </c>
      <c r="U109" s="1" t="s">
        <v>112</v>
      </c>
      <c r="V109" s="1" t="s">
        <v>979</v>
      </c>
      <c r="W109" s="1" t="s">
        <v>980</v>
      </c>
      <c r="X109" s="1" t="s">
        <v>981</v>
      </c>
      <c r="Y109" s="1" t="s">
        <v>49</v>
      </c>
      <c r="Z109" s="1" t="s">
        <v>35</v>
      </c>
      <c r="AA109" s="1" t="s">
        <v>35</v>
      </c>
      <c r="AB109" s="1" t="s">
        <v>35</v>
      </c>
      <c r="AC109" s="1" t="s">
        <v>35</v>
      </c>
      <c r="AD109" s="1" t="s">
        <v>35</v>
      </c>
      <c r="AE109" s="1" t="s">
        <v>35</v>
      </c>
      <c r="AF109" s="1" t="s">
        <v>35</v>
      </c>
    </row>
    <row r="110" spans="1:32" x14ac:dyDescent="0.25">
      <c r="A110" s="1" t="s">
        <v>105</v>
      </c>
      <c r="B110" s="1" t="s">
        <v>982</v>
      </c>
      <c r="C110" s="1" t="s">
        <v>983</v>
      </c>
      <c r="D110" s="1" t="s">
        <v>984</v>
      </c>
      <c r="E110" s="24">
        <v>45817</v>
      </c>
      <c r="F110" s="2" t="s">
        <v>39</v>
      </c>
      <c r="G110" s="1" t="s">
        <v>54</v>
      </c>
      <c r="H110" s="1" t="s">
        <v>36</v>
      </c>
      <c r="I110" s="1" t="s">
        <v>37</v>
      </c>
      <c r="J110" s="1" t="s">
        <v>38</v>
      </c>
      <c r="K110" s="1" t="s">
        <v>55</v>
      </c>
      <c r="L110" s="1" t="s">
        <v>807</v>
      </c>
      <c r="M110" s="1" t="s">
        <v>56</v>
      </c>
      <c r="N110" s="1" t="s">
        <v>42</v>
      </c>
      <c r="O110" s="1" t="s">
        <v>43</v>
      </c>
      <c r="P110" s="1" t="s">
        <v>230</v>
      </c>
      <c r="Q110" s="1" t="s">
        <v>42</v>
      </c>
      <c r="R110" s="1" t="s">
        <v>985</v>
      </c>
      <c r="S110" s="1" t="s">
        <v>837</v>
      </c>
      <c r="T110" s="1" t="s">
        <v>60</v>
      </c>
      <c r="U110" s="1" t="s">
        <v>112</v>
      </c>
      <c r="V110" s="1" t="s">
        <v>986</v>
      </c>
      <c r="W110" s="1" t="s">
        <v>35</v>
      </c>
      <c r="X110" s="1" t="s">
        <v>35</v>
      </c>
      <c r="Y110" s="1" t="s">
        <v>104</v>
      </c>
      <c r="Z110" s="1" t="s">
        <v>35</v>
      </c>
      <c r="AA110" s="1" t="s">
        <v>35</v>
      </c>
      <c r="AB110" s="1" t="s">
        <v>35</v>
      </c>
      <c r="AC110" s="1" t="s">
        <v>35</v>
      </c>
      <c r="AD110" s="1" t="s">
        <v>35</v>
      </c>
      <c r="AE110" s="1" t="s">
        <v>35</v>
      </c>
      <c r="AF110" s="1" t="s">
        <v>35</v>
      </c>
    </row>
    <row r="111" spans="1:32" x14ac:dyDescent="0.25">
      <c r="A111" s="1" t="s">
        <v>50</v>
      </c>
      <c r="B111" s="1" t="s">
        <v>987</v>
      </c>
      <c r="C111" s="1" t="s">
        <v>988</v>
      </c>
      <c r="D111" s="1" t="s">
        <v>989</v>
      </c>
      <c r="E111" s="24">
        <v>45817</v>
      </c>
      <c r="F111" s="2" t="s">
        <v>103</v>
      </c>
      <c r="G111" s="1" t="s">
        <v>54</v>
      </c>
      <c r="H111" s="1" t="s">
        <v>36</v>
      </c>
      <c r="I111" s="1" t="s">
        <v>37</v>
      </c>
      <c r="J111" s="1" t="s">
        <v>38</v>
      </c>
      <c r="K111" s="1" t="s">
        <v>55</v>
      </c>
      <c r="L111" s="1" t="s">
        <v>69</v>
      </c>
      <c r="M111" s="1" t="s">
        <v>56</v>
      </c>
      <c r="N111" s="1" t="s">
        <v>42</v>
      </c>
      <c r="O111" s="1" t="s">
        <v>43</v>
      </c>
      <c r="P111" s="1" t="s">
        <v>990</v>
      </c>
      <c r="Q111" s="1" t="s">
        <v>42</v>
      </c>
      <c r="R111" s="1" t="s">
        <v>991</v>
      </c>
      <c r="S111" s="1" t="s">
        <v>144</v>
      </c>
      <c r="T111" s="1" t="s">
        <v>46</v>
      </c>
      <c r="U111" s="1" t="s">
        <v>61</v>
      </c>
      <c r="V111" s="1" t="s">
        <v>992</v>
      </c>
      <c r="W111" s="1" t="s">
        <v>35</v>
      </c>
      <c r="X111" s="1" t="s">
        <v>35</v>
      </c>
      <c r="Y111" s="1" t="s">
        <v>49</v>
      </c>
      <c r="Z111" s="1" t="s">
        <v>35</v>
      </c>
      <c r="AA111" s="1" t="s">
        <v>35</v>
      </c>
      <c r="AB111" s="1" t="s">
        <v>35</v>
      </c>
      <c r="AC111" s="1" t="s">
        <v>35</v>
      </c>
      <c r="AD111" s="1" t="s">
        <v>35</v>
      </c>
      <c r="AE111" s="1" t="s">
        <v>993</v>
      </c>
      <c r="AF111" s="1" t="s">
        <v>994</v>
      </c>
    </row>
    <row r="112" spans="1:32" x14ac:dyDescent="0.25">
      <c r="A112" s="1" t="s">
        <v>65</v>
      </c>
      <c r="B112" s="1" t="s">
        <v>182</v>
      </c>
      <c r="C112" s="1" t="s">
        <v>183</v>
      </c>
      <c r="D112" s="1" t="s">
        <v>995</v>
      </c>
      <c r="E112" s="24">
        <v>45823</v>
      </c>
      <c r="F112" s="2" t="s">
        <v>103</v>
      </c>
      <c r="G112" s="1" t="s">
        <v>54</v>
      </c>
      <c r="H112" s="1" t="s">
        <v>36</v>
      </c>
      <c r="I112" s="1" t="s">
        <v>37</v>
      </c>
      <c r="J112" s="1" t="s">
        <v>38</v>
      </c>
      <c r="K112" s="1" t="s">
        <v>55</v>
      </c>
      <c r="L112" s="1" t="s">
        <v>69</v>
      </c>
      <c r="M112" s="1" t="s">
        <v>56</v>
      </c>
      <c r="N112" s="1" t="s">
        <v>42</v>
      </c>
      <c r="O112" s="1" t="s">
        <v>43</v>
      </c>
      <c r="P112" s="1" t="s">
        <v>996</v>
      </c>
      <c r="Q112" s="1" t="s">
        <v>42</v>
      </c>
      <c r="R112" s="1" t="s">
        <v>186</v>
      </c>
      <c r="S112" s="1" t="s">
        <v>675</v>
      </c>
      <c r="T112" s="1" t="s">
        <v>46</v>
      </c>
      <c r="U112" s="1" t="s">
        <v>81</v>
      </c>
      <c r="V112" s="1" t="s">
        <v>187</v>
      </c>
      <c r="W112" s="1" t="s">
        <v>35</v>
      </c>
      <c r="X112" s="1" t="s">
        <v>35</v>
      </c>
      <c r="Y112" s="1" t="s">
        <v>49</v>
      </c>
      <c r="Z112" s="1" t="s">
        <v>35</v>
      </c>
      <c r="AA112" s="1" t="s">
        <v>35</v>
      </c>
      <c r="AB112" s="1" t="s">
        <v>35</v>
      </c>
      <c r="AC112" s="1" t="s">
        <v>35</v>
      </c>
      <c r="AD112" s="1" t="s">
        <v>35</v>
      </c>
      <c r="AE112" s="1" t="s">
        <v>997</v>
      </c>
      <c r="AF112" s="1" t="s">
        <v>998</v>
      </c>
    </row>
    <row r="113" spans="1:32" x14ac:dyDescent="0.25">
      <c r="A113" s="1" t="s">
        <v>65</v>
      </c>
      <c r="B113" s="1" t="s">
        <v>999</v>
      </c>
      <c r="C113" s="1" t="s">
        <v>1000</v>
      </c>
      <c r="D113" s="1" t="s">
        <v>1001</v>
      </c>
      <c r="E113" s="24">
        <v>45823</v>
      </c>
      <c r="F113" s="2" t="s">
        <v>103</v>
      </c>
      <c r="G113" s="1" t="s">
        <v>54</v>
      </c>
      <c r="H113" s="1" t="s">
        <v>36</v>
      </c>
      <c r="I113" s="1" t="s">
        <v>37</v>
      </c>
      <c r="J113" s="1" t="s">
        <v>38</v>
      </c>
      <c r="K113" s="1" t="s">
        <v>55</v>
      </c>
      <c r="L113" s="1" t="s">
        <v>69</v>
      </c>
      <c r="M113" s="1" t="s">
        <v>56</v>
      </c>
      <c r="N113" s="1" t="s">
        <v>42</v>
      </c>
      <c r="O113" s="1" t="s">
        <v>43</v>
      </c>
      <c r="P113" s="1" t="s">
        <v>493</v>
      </c>
      <c r="Q113" s="1" t="s">
        <v>42</v>
      </c>
      <c r="R113" s="1" t="s">
        <v>1002</v>
      </c>
      <c r="S113" s="1" t="s">
        <v>45</v>
      </c>
      <c r="T113" s="1" t="s">
        <v>60</v>
      </c>
      <c r="U113" s="1" t="s">
        <v>145</v>
      </c>
      <c r="V113" s="1" t="s">
        <v>1003</v>
      </c>
      <c r="W113" s="1" t="s">
        <v>35</v>
      </c>
      <c r="X113" s="1" t="s">
        <v>35</v>
      </c>
      <c r="Y113" s="1" t="s">
        <v>49</v>
      </c>
      <c r="Z113" s="1" t="s">
        <v>35</v>
      </c>
      <c r="AA113" s="1" t="s">
        <v>35</v>
      </c>
      <c r="AB113" s="1" t="s">
        <v>35</v>
      </c>
      <c r="AC113" s="1" t="s">
        <v>35</v>
      </c>
      <c r="AD113" s="1" t="s">
        <v>35</v>
      </c>
      <c r="AE113" s="1" t="s">
        <v>1004</v>
      </c>
      <c r="AF113" s="1" t="s">
        <v>1005</v>
      </c>
    </row>
    <row r="114" spans="1:32" x14ac:dyDescent="0.25">
      <c r="A114" s="1" t="s">
        <v>50</v>
      </c>
      <c r="B114" s="1" t="s">
        <v>1006</v>
      </c>
      <c r="C114" s="1" t="s">
        <v>1007</v>
      </c>
      <c r="D114" s="1" t="s">
        <v>1008</v>
      </c>
      <c r="E114" s="24">
        <v>45823</v>
      </c>
      <c r="F114" s="2" t="s">
        <v>102</v>
      </c>
      <c r="G114" s="1" t="s">
        <v>54</v>
      </c>
      <c r="H114" s="1" t="s">
        <v>36</v>
      </c>
      <c r="I114" s="1" t="s">
        <v>37</v>
      </c>
      <c r="J114" s="1" t="s">
        <v>38</v>
      </c>
      <c r="K114" s="1" t="s">
        <v>55</v>
      </c>
      <c r="L114" s="1" t="s">
        <v>40</v>
      </c>
      <c r="M114" s="1" t="s">
        <v>1009</v>
      </c>
      <c r="N114" s="1" t="s">
        <v>42</v>
      </c>
      <c r="O114" s="1" t="s">
        <v>43</v>
      </c>
      <c r="P114" s="1" t="s">
        <v>1010</v>
      </c>
      <c r="Q114" s="1" t="s">
        <v>42</v>
      </c>
      <c r="R114" s="1" t="s">
        <v>1011</v>
      </c>
      <c r="S114" s="1" t="s">
        <v>80</v>
      </c>
      <c r="T114" s="1" t="s">
        <v>60</v>
      </c>
      <c r="U114" s="1" t="s">
        <v>81</v>
      </c>
      <c r="V114" s="1" t="s">
        <v>1012</v>
      </c>
      <c r="W114" s="1" t="s">
        <v>35</v>
      </c>
      <c r="X114" s="1" t="s">
        <v>35</v>
      </c>
      <c r="Y114" s="1" t="s">
        <v>49</v>
      </c>
      <c r="Z114" s="1" t="s">
        <v>35</v>
      </c>
      <c r="AA114" s="1" t="s">
        <v>35</v>
      </c>
      <c r="AB114" s="1" t="s">
        <v>35</v>
      </c>
      <c r="AC114" s="1" t="s">
        <v>1013</v>
      </c>
      <c r="AD114" s="1" t="s">
        <v>1014</v>
      </c>
      <c r="AE114" s="1" t="s">
        <v>35</v>
      </c>
      <c r="AF114" s="1" t="s">
        <v>35</v>
      </c>
    </row>
    <row r="115" spans="1:32" x14ac:dyDescent="0.25">
      <c r="A115" s="1" t="s">
        <v>31</v>
      </c>
      <c r="B115" s="1" t="s">
        <v>1015</v>
      </c>
      <c r="C115" s="1" t="s">
        <v>33</v>
      </c>
      <c r="D115" s="1" t="s">
        <v>1016</v>
      </c>
      <c r="E115" s="24">
        <v>45825</v>
      </c>
      <c r="F115" s="2" t="s">
        <v>39</v>
      </c>
      <c r="G115" s="1" t="s">
        <v>194</v>
      </c>
      <c r="H115" s="1" t="s">
        <v>36</v>
      </c>
      <c r="I115" s="1" t="s">
        <v>37</v>
      </c>
      <c r="J115" s="1" t="s">
        <v>38</v>
      </c>
      <c r="K115" s="1" t="s">
        <v>55</v>
      </c>
      <c r="L115" s="1" t="s">
        <v>69</v>
      </c>
      <c r="M115" s="1" t="s">
        <v>264</v>
      </c>
      <c r="N115" s="1" t="s">
        <v>42</v>
      </c>
      <c r="O115" s="1" t="s">
        <v>43</v>
      </c>
      <c r="P115" s="1" t="s">
        <v>961</v>
      </c>
      <c r="Q115" s="1" t="s">
        <v>42</v>
      </c>
      <c r="R115" s="1" t="s">
        <v>1017</v>
      </c>
      <c r="S115" s="1" t="s">
        <v>259</v>
      </c>
      <c r="T115" s="1" t="s">
        <v>46</v>
      </c>
      <c r="U115" s="1" t="s">
        <v>81</v>
      </c>
      <c r="V115" s="1" t="s">
        <v>1018</v>
      </c>
      <c r="W115" s="1" t="s">
        <v>35</v>
      </c>
      <c r="X115" s="1" t="s">
        <v>35</v>
      </c>
      <c r="Y115" s="1" t="s">
        <v>49</v>
      </c>
      <c r="Z115" s="1" t="s">
        <v>35</v>
      </c>
      <c r="AA115" s="1" t="s">
        <v>35</v>
      </c>
      <c r="AB115" s="1" t="s">
        <v>35</v>
      </c>
      <c r="AC115" s="1" t="s">
        <v>35</v>
      </c>
      <c r="AD115" s="1" t="s">
        <v>35</v>
      </c>
      <c r="AE115" s="1" t="s">
        <v>1019</v>
      </c>
      <c r="AF115" s="1" t="s">
        <v>1020</v>
      </c>
    </row>
    <row r="116" spans="1:32" x14ac:dyDescent="0.25">
      <c r="A116" s="1" t="s">
        <v>65</v>
      </c>
      <c r="B116" s="1" t="s">
        <v>1021</v>
      </c>
      <c r="C116" s="1" t="s">
        <v>1022</v>
      </c>
      <c r="D116" s="1" t="s">
        <v>1023</v>
      </c>
      <c r="E116" s="24">
        <v>45826</v>
      </c>
      <c r="F116" s="2" t="s">
        <v>103</v>
      </c>
      <c r="G116" s="1" t="s">
        <v>54</v>
      </c>
      <c r="H116" s="1" t="s">
        <v>36</v>
      </c>
      <c r="I116" s="1" t="s">
        <v>37</v>
      </c>
      <c r="J116" s="1" t="s">
        <v>38</v>
      </c>
      <c r="K116" s="1" t="s">
        <v>55</v>
      </c>
      <c r="L116" s="1" t="s">
        <v>69</v>
      </c>
      <c r="M116" s="1" t="s">
        <v>56</v>
      </c>
      <c r="N116" s="1" t="s">
        <v>42</v>
      </c>
      <c r="O116" s="1" t="s">
        <v>43</v>
      </c>
      <c r="P116" s="1" t="s">
        <v>56</v>
      </c>
      <c r="Q116" s="1" t="s">
        <v>42</v>
      </c>
      <c r="R116" s="1" t="s">
        <v>691</v>
      </c>
      <c r="S116" s="1" t="s">
        <v>45</v>
      </c>
      <c r="T116" s="1" t="s">
        <v>46</v>
      </c>
      <c r="U116" s="1" t="s">
        <v>81</v>
      </c>
      <c r="V116" s="1" t="s">
        <v>1024</v>
      </c>
      <c r="W116" s="1" t="s">
        <v>35</v>
      </c>
      <c r="X116" s="1" t="s">
        <v>35</v>
      </c>
      <c r="Y116" s="1" t="s">
        <v>49</v>
      </c>
      <c r="Z116" s="1" t="s">
        <v>35</v>
      </c>
      <c r="AA116" s="1" t="s">
        <v>35</v>
      </c>
      <c r="AB116" s="1" t="s">
        <v>35</v>
      </c>
      <c r="AC116" s="1" t="s">
        <v>35</v>
      </c>
      <c r="AD116" s="1" t="s">
        <v>35</v>
      </c>
      <c r="AE116" s="1" t="s">
        <v>1025</v>
      </c>
      <c r="AF116" s="1" t="s">
        <v>1026</v>
      </c>
    </row>
    <row r="117" spans="1:32" x14ac:dyDescent="0.25">
      <c r="A117" s="1" t="s">
        <v>50</v>
      </c>
      <c r="B117" s="1" t="s">
        <v>1027</v>
      </c>
      <c r="C117" s="1" t="s">
        <v>1028</v>
      </c>
      <c r="D117" s="1" t="s">
        <v>1029</v>
      </c>
      <c r="E117" s="24">
        <v>45826</v>
      </c>
      <c r="F117" s="2" t="s">
        <v>103</v>
      </c>
      <c r="G117" s="1" t="s">
        <v>54</v>
      </c>
      <c r="H117" s="1" t="s">
        <v>36</v>
      </c>
      <c r="I117" s="1" t="s">
        <v>37</v>
      </c>
      <c r="J117" s="1" t="s">
        <v>38</v>
      </c>
      <c r="K117" s="1" t="s">
        <v>55</v>
      </c>
      <c r="L117" s="1" t="s">
        <v>69</v>
      </c>
      <c r="M117" s="1" t="s">
        <v>56</v>
      </c>
      <c r="N117" s="1" t="s">
        <v>42</v>
      </c>
      <c r="O117" s="1" t="s">
        <v>43</v>
      </c>
      <c r="P117" s="1" t="s">
        <v>317</v>
      </c>
      <c r="Q117" s="1" t="s">
        <v>42</v>
      </c>
      <c r="R117" s="1" t="s">
        <v>1017</v>
      </c>
      <c r="S117" s="1" t="s">
        <v>259</v>
      </c>
      <c r="T117" s="1" t="s">
        <v>46</v>
      </c>
      <c r="U117" s="1" t="s">
        <v>81</v>
      </c>
      <c r="V117" s="1" t="s">
        <v>1018</v>
      </c>
      <c r="W117" s="1" t="s">
        <v>35</v>
      </c>
      <c r="X117" s="1" t="s">
        <v>35</v>
      </c>
      <c r="Y117" s="1" t="s">
        <v>49</v>
      </c>
      <c r="Z117" s="1" t="s">
        <v>35</v>
      </c>
      <c r="AA117" s="1" t="s">
        <v>35</v>
      </c>
      <c r="AB117" s="1" t="s">
        <v>35</v>
      </c>
      <c r="AC117" s="1" t="s">
        <v>35</v>
      </c>
      <c r="AD117" s="1" t="s">
        <v>35</v>
      </c>
      <c r="AE117" s="1" t="s">
        <v>1030</v>
      </c>
      <c r="AF117" s="1" t="s">
        <v>1031</v>
      </c>
    </row>
    <row r="118" spans="1:32" x14ac:dyDescent="0.25">
      <c r="A118" s="1" t="s">
        <v>50</v>
      </c>
      <c r="B118" s="1" t="s">
        <v>1032</v>
      </c>
      <c r="C118" s="1" t="s">
        <v>1033</v>
      </c>
      <c r="D118" s="1" t="s">
        <v>1034</v>
      </c>
      <c r="E118" s="24">
        <v>45826</v>
      </c>
      <c r="F118" s="2" t="s">
        <v>102</v>
      </c>
      <c r="G118" s="1" t="s">
        <v>54</v>
      </c>
      <c r="H118" s="1" t="s">
        <v>36</v>
      </c>
      <c r="I118" s="1" t="s">
        <v>37</v>
      </c>
      <c r="J118" s="1" t="s">
        <v>38</v>
      </c>
      <c r="K118" s="1" t="s">
        <v>55</v>
      </c>
      <c r="L118" s="1" t="s">
        <v>40</v>
      </c>
      <c r="M118" s="1" t="s">
        <v>56</v>
      </c>
      <c r="N118" s="1" t="s">
        <v>42</v>
      </c>
      <c r="O118" s="1" t="s">
        <v>43</v>
      </c>
      <c r="P118" s="1" t="s">
        <v>1035</v>
      </c>
      <c r="Q118" s="1" t="s">
        <v>42</v>
      </c>
      <c r="R118" s="1" t="s">
        <v>1036</v>
      </c>
      <c r="S118" s="1" t="s">
        <v>89</v>
      </c>
      <c r="T118" s="1" t="s">
        <v>46</v>
      </c>
      <c r="U118" s="1" t="s">
        <v>81</v>
      </c>
      <c r="V118" s="1" t="s">
        <v>1037</v>
      </c>
      <c r="W118" s="1" t="s">
        <v>125</v>
      </c>
      <c r="X118" s="1" t="s">
        <v>1038</v>
      </c>
      <c r="Y118" s="1" t="s">
        <v>104</v>
      </c>
      <c r="Z118" s="1" t="s">
        <v>35</v>
      </c>
      <c r="AA118" s="1" t="s">
        <v>35</v>
      </c>
      <c r="AB118" s="1" t="s">
        <v>35</v>
      </c>
      <c r="AC118" s="1" t="s">
        <v>35</v>
      </c>
      <c r="AD118" s="1" t="s">
        <v>35</v>
      </c>
      <c r="AE118" s="1" t="s">
        <v>1039</v>
      </c>
      <c r="AF118" s="1" t="s">
        <v>1040</v>
      </c>
    </row>
    <row r="119" spans="1:32" x14ac:dyDescent="0.25">
      <c r="A119" s="1" t="s">
        <v>105</v>
      </c>
      <c r="B119" s="1" t="s">
        <v>1041</v>
      </c>
      <c r="C119" s="1" t="s">
        <v>1042</v>
      </c>
      <c r="D119" s="1" t="s">
        <v>1043</v>
      </c>
      <c r="E119" s="24">
        <v>45828</v>
      </c>
      <c r="F119" s="2" t="s">
        <v>102</v>
      </c>
      <c r="G119" s="1" t="s">
        <v>54</v>
      </c>
      <c r="H119" s="1" t="s">
        <v>36</v>
      </c>
      <c r="I119" s="1" t="s">
        <v>37</v>
      </c>
      <c r="J119" s="1" t="s">
        <v>38</v>
      </c>
      <c r="K119" s="1" t="s">
        <v>55</v>
      </c>
      <c r="L119" s="1" t="s">
        <v>69</v>
      </c>
      <c r="M119" s="1" t="s">
        <v>658</v>
      </c>
      <c r="N119" s="1" t="s">
        <v>42</v>
      </c>
      <c r="O119" s="1" t="s">
        <v>43</v>
      </c>
      <c r="P119" s="1" t="s">
        <v>1044</v>
      </c>
      <c r="Q119" s="1" t="s">
        <v>42</v>
      </c>
      <c r="R119" s="1" t="s">
        <v>1045</v>
      </c>
      <c r="S119" s="1" t="s">
        <v>367</v>
      </c>
      <c r="T119" s="1" t="s">
        <v>60</v>
      </c>
      <c r="U119" s="1" t="s">
        <v>112</v>
      </c>
      <c r="V119" s="1" t="s">
        <v>1046</v>
      </c>
      <c r="W119" s="1" t="s">
        <v>35</v>
      </c>
      <c r="X119" s="1" t="s">
        <v>35</v>
      </c>
      <c r="Y119" s="1" t="s">
        <v>49</v>
      </c>
      <c r="Z119" s="1" t="s">
        <v>35</v>
      </c>
      <c r="AA119" s="1" t="s">
        <v>35</v>
      </c>
      <c r="AB119" s="1" t="s">
        <v>35</v>
      </c>
      <c r="AC119" s="1" t="s">
        <v>35</v>
      </c>
      <c r="AD119" s="1" t="s">
        <v>35</v>
      </c>
      <c r="AE119" s="1" t="s">
        <v>1047</v>
      </c>
      <c r="AF119" s="1" t="s">
        <v>1048</v>
      </c>
    </row>
    <row r="120" spans="1:32" x14ac:dyDescent="0.25">
      <c r="A120" s="1" t="s">
        <v>50</v>
      </c>
      <c r="B120" s="1" t="s">
        <v>1049</v>
      </c>
      <c r="C120" s="1" t="s">
        <v>1050</v>
      </c>
      <c r="D120" s="1" t="s">
        <v>1051</v>
      </c>
      <c r="E120" s="24">
        <v>45828</v>
      </c>
      <c r="F120" s="2" t="s">
        <v>103</v>
      </c>
      <c r="G120" s="1" t="s">
        <v>911</v>
      </c>
      <c r="H120" s="1" t="s">
        <v>36</v>
      </c>
      <c r="I120" s="1" t="s">
        <v>37</v>
      </c>
      <c r="J120" s="1" t="s">
        <v>38</v>
      </c>
      <c r="K120" s="1" t="s">
        <v>55</v>
      </c>
      <c r="L120" s="1" t="s">
        <v>69</v>
      </c>
      <c r="M120" s="1" t="s">
        <v>119</v>
      </c>
      <c r="N120" s="1" t="s">
        <v>42</v>
      </c>
      <c r="O120" s="1" t="s">
        <v>43</v>
      </c>
      <c r="P120" s="1" t="s">
        <v>493</v>
      </c>
      <c r="Q120" s="1" t="s">
        <v>42</v>
      </c>
      <c r="R120" s="1" t="s">
        <v>1052</v>
      </c>
      <c r="S120" s="1" t="s">
        <v>135</v>
      </c>
      <c r="T120" s="1" t="s">
        <v>60</v>
      </c>
      <c r="U120" s="1" t="s">
        <v>61</v>
      </c>
      <c r="V120" s="1" t="s">
        <v>1053</v>
      </c>
      <c r="W120" s="1" t="s">
        <v>35</v>
      </c>
      <c r="X120" s="1" t="s">
        <v>35</v>
      </c>
      <c r="Y120" s="1" t="s">
        <v>49</v>
      </c>
      <c r="Z120" s="1" t="s">
        <v>35</v>
      </c>
      <c r="AA120" s="1" t="s">
        <v>35</v>
      </c>
      <c r="AB120" s="1" t="s">
        <v>35</v>
      </c>
      <c r="AC120" s="1" t="s">
        <v>1054</v>
      </c>
      <c r="AD120" s="1" t="s">
        <v>1055</v>
      </c>
      <c r="AE120" s="1" t="s">
        <v>1056</v>
      </c>
      <c r="AF120" s="1" t="s">
        <v>1057</v>
      </c>
    </row>
    <row r="121" spans="1:32" x14ac:dyDescent="0.25">
      <c r="A121" s="1" t="s">
        <v>65</v>
      </c>
      <c r="B121" s="1" t="s">
        <v>1058</v>
      </c>
      <c r="C121" s="1" t="s">
        <v>1059</v>
      </c>
      <c r="D121" s="1" t="s">
        <v>1060</v>
      </c>
      <c r="E121" s="24">
        <v>45829</v>
      </c>
      <c r="F121" s="2" t="s">
        <v>103</v>
      </c>
      <c r="G121" s="1" t="s">
        <v>54</v>
      </c>
      <c r="H121" s="1" t="s">
        <v>36</v>
      </c>
      <c r="I121" s="1" t="s">
        <v>37</v>
      </c>
      <c r="J121" s="1" t="s">
        <v>38</v>
      </c>
      <c r="K121" s="1" t="s">
        <v>55</v>
      </c>
      <c r="L121" s="1" t="s">
        <v>40</v>
      </c>
      <c r="M121" s="1" t="s">
        <v>56</v>
      </c>
      <c r="N121" s="1" t="s">
        <v>42</v>
      </c>
      <c r="O121" s="1" t="s">
        <v>43</v>
      </c>
      <c r="P121" s="1" t="s">
        <v>1061</v>
      </c>
      <c r="Q121" s="1" t="s">
        <v>42</v>
      </c>
      <c r="R121" s="1" t="s">
        <v>1062</v>
      </c>
      <c r="S121" s="1" t="s">
        <v>259</v>
      </c>
      <c r="T121" s="1" t="s">
        <v>60</v>
      </c>
      <c r="U121" s="1" t="s">
        <v>145</v>
      </c>
      <c r="V121" s="1" t="s">
        <v>1063</v>
      </c>
      <c r="W121" s="1" t="s">
        <v>35</v>
      </c>
      <c r="X121" s="1" t="s">
        <v>35</v>
      </c>
      <c r="Y121" s="1" t="s">
        <v>104</v>
      </c>
      <c r="Z121" s="1" t="s">
        <v>35</v>
      </c>
      <c r="AA121" s="1" t="s">
        <v>35</v>
      </c>
      <c r="AB121" s="1" t="s">
        <v>35</v>
      </c>
      <c r="AC121" s="1" t="s">
        <v>35</v>
      </c>
      <c r="AD121" s="1" t="s">
        <v>35</v>
      </c>
      <c r="AE121" s="1" t="s">
        <v>1064</v>
      </c>
      <c r="AF121" s="1" t="s">
        <v>1065</v>
      </c>
    </row>
    <row r="122" spans="1:32" x14ac:dyDescent="0.25">
      <c r="A122" s="1" t="s">
        <v>50</v>
      </c>
      <c r="B122" s="1" t="s">
        <v>1066</v>
      </c>
      <c r="C122" s="1" t="s">
        <v>1067</v>
      </c>
      <c r="D122" s="1" t="s">
        <v>1068</v>
      </c>
      <c r="E122" s="24">
        <v>45829</v>
      </c>
      <c r="F122" s="2" t="s">
        <v>103</v>
      </c>
      <c r="G122" s="1" t="s">
        <v>783</v>
      </c>
      <c r="H122" s="1" t="s">
        <v>36</v>
      </c>
      <c r="I122" s="1" t="s">
        <v>37</v>
      </c>
      <c r="J122" s="1" t="s">
        <v>38</v>
      </c>
      <c r="K122" s="1" t="s">
        <v>55</v>
      </c>
      <c r="L122" s="1" t="s">
        <v>40</v>
      </c>
      <c r="M122" s="1" t="s">
        <v>835</v>
      </c>
      <c r="N122" s="1" t="s">
        <v>42</v>
      </c>
      <c r="O122" s="1" t="s">
        <v>43</v>
      </c>
      <c r="P122" s="1" t="s">
        <v>835</v>
      </c>
      <c r="Q122" s="1" t="s">
        <v>42</v>
      </c>
      <c r="R122" s="1" t="s">
        <v>1069</v>
      </c>
      <c r="S122" s="1" t="s">
        <v>632</v>
      </c>
      <c r="T122" s="1" t="s">
        <v>60</v>
      </c>
      <c r="U122" s="1" t="s">
        <v>145</v>
      </c>
      <c r="V122" s="1" t="s">
        <v>1070</v>
      </c>
      <c r="W122" s="1" t="s">
        <v>125</v>
      </c>
      <c r="X122" s="1" t="s">
        <v>1071</v>
      </c>
      <c r="Y122" s="1" t="s">
        <v>104</v>
      </c>
      <c r="Z122" s="1" t="s">
        <v>35</v>
      </c>
      <c r="AA122" s="1" t="s">
        <v>35</v>
      </c>
      <c r="AB122" s="1" t="s">
        <v>35</v>
      </c>
      <c r="AC122" s="1" t="s">
        <v>35</v>
      </c>
      <c r="AD122" s="1" t="s">
        <v>35</v>
      </c>
      <c r="AE122" s="1" t="s">
        <v>1072</v>
      </c>
      <c r="AF122" s="1" t="s">
        <v>1073</v>
      </c>
    </row>
    <row r="123" spans="1:32" x14ac:dyDescent="0.25">
      <c r="A123" s="1" t="s">
        <v>50</v>
      </c>
      <c r="B123" s="1" t="s">
        <v>1074</v>
      </c>
      <c r="C123" s="1" t="s">
        <v>1075</v>
      </c>
      <c r="D123" s="1" t="s">
        <v>1076</v>
      </c>
      <c r="E123" s="24">
        <v>45830</v>
      </c>
      <c r="F123" s="2" t="s">
        <v>102</v>
      </c>
      <c r="G123" s="1" t="s">
        <v>54</v>
      </c>
      <c r="H123" s="1" t="s">
        <v>36</v>
      </c>
      <c r="I123" s="1" t="s">
        <v>37</v>
      </c>
      <c r="J123" s="1" t="s">
        <v>38</v>
      </c>
      <c r="K123" s="1" t="s">
        <v>55</v>
      </c>
      <c r="L123" s="1" t="s">
        <v>69</v>
      </c>
      <c r="M123" s="1" t="s">
        <v>1009</v>
      </c>
      <c r="N123" s="1" t="s">
        <v>42</v>
      </c>
      <c r="O123" s="1" t="s">
        <v>43</v>
      </c>
      <c r="P123" s="1" t="s">
        <v>1010</v>
      </c>
      <c r="Q123" s="1" t="s">
        <v>42</v>
      </c>
      <c r="R123" s="1" t="s">
        <v>1077</v>
      </c>
      <c r="S123" s="1" t="s">
        <v>135</v>
      </c>
      <c r="T123" s="1" t="s">
        <v>60</v>
      </c>
      <c r="U123" s="1" t="s">
        <v>81</v>
      </c>
      <c r="V123" s="1" t="s">
        <v>1078</v>
      </c>
      <c r="W123" s="1" t="s">
        <v>35</v>
      </c>
      <c r="X123" s="1" t="s">
        <v>35</v>
      </c>
      <c r="Y123" s="1" t="s">
        <v>49</v>
      </c>
      <c r="Z123" s="1" t="s">
        <v>35</v>
      </c>
      <c r="AA123" s="1" t="s">
        <v>35</v>
      </c>
      <c r="AB123" s="1" t="s">
        <v>35</v>
      </c>
      <c r="AC123" s="1" t="s">
        <v>1079</v>
      </c>
      <c r="AD123" s="1" t="s">
        <v>1080</v>
      </c>
      <c r="AE123" s="1" t="s">
        <v>1081</v>
      </c>
      <c r="AF123" s="1" t="s">
        <v>1082</v>
      </c>
    </row>
    <row r="124" spans="1:32" x14ac:dyDescent="0.25">
      <c r="A124" s="1" t="s">
        <v>65</v>
      </c>
      <c r="B124" s="1" t="s">
        <v>1083</v>
      </c>
      <c r="C124" s="1" t="s">
        <v>1084</v>
      </c>
      <c r="D124" s="1" t="s">
        <v>1085</v>
      </c>
      <c r="E124" s="24">
        <v>45830</v>
      </c>
      <c r="F124" s="2" t="s">
        <v>103</v>
      </c>
      <c r="G124" s="1" t="s">
        <v>54</v>
      </c>
      <c r="H124" s="1" t="s">
        <v>36</v>
      </c>
      <c r="I124" s="1" t="s">
        <v>37</v>
      </c>
      <c r="J124" s="1" t="s">
        <v>38</v>
      </c>
      <c r="K124" s="1" t="s">
        <v>55</v>
      </c>
      <c r="L124" s="1" t="s">
        <v>69</v>
      </c>
      <c r="M124" s="1" t="s">
        <v>56</v>
      </c>
      <c r="N124" s="1" t="s">
        <v>42</v>
      </c>
      <c r="O124" s="1" t="s">
        <v>43</v>
      </c>
      <c r="P124" s="1" t="s">
        <v>399</v>
      </c>
      <c r="Q124" s="1" t="s">
        <v>42</v>
      </c>
      <c r="R124" s="1" t="s">
        <v>1086</v>
      </c>
      <c r="S124" s="1" t="s">
        <v>322</v>
      </c>
      <c r="T124" s="1" t="s">
        <v>60</v>
      </c>
      <c r="U124" s="1" t="s">
        <v>668</v>
      </c>
      <c r="V124" s="1" t="s">
        <v>1087</v>
      </c>
      <c r="W124" s="1" t="s">
        <v>35</v>
      </c>
      <c r="X124" s="1" t="s">
        <v>35</v>
      </c>
      <c r="Y124" s="1" t="s">
        <v>49</v>
      </c>
      <c r="Z124" s="1" t="s">
        <v>35</v>
      </c>
      <c r="AA124" s="1" t="s">
        <v>35</v>
      </c>
      <c r="AB124" s="1" t="s">
        <v>35</v>
      </c>
      <c r="AC124" s="1" t="s">
        <v>35</v>
      </c>
      <c r="AD124" s="1" t="s">
        <v>35</v>
      </c>
      <c r="AE124" s="1" t="s">
        <v>1088</v>
      </c>
      <c r="AF124" s="1" t="s">
        <v>1089</v>
      </c>
    </row>
    <row r="125" spans="1:32" x14ac:dyDescent="0.25">
      <c r="A125" s="1" t="s">
        <v>65</v>
      </c>
      <c r="B125" s="1" t="s">
        <v>1090</v>
      </c>
      <c r="C125" s="1" t="s">
        <v>1091</v>
      </c>
      <c r="D125" s="1" t="s">
        <v>1092</v>
      </c>
      <c r="E125" s="24">
        <v>45834</v>
      </c>
      <c r="F125" s="2" t="s">
        <v>103</v>
      </c>
      <c r="G125" s="1" t="s">
        <v>54</v>
      </c>
      <c r="H125" s="1" t="s">
        <v>36</v>
      </c>
      <c r="I125" s="1" t="s">
        <v>37</v>
      </c>
      <c r="J125" s="1" t="s">
        <v>38</v>
      </c>
      <c r="K125" s="1" t="s">
        <v>55</v>
      </c>
      <c r="L125" s="1" t="s">
        <v>69</v>
      </c>
      <c r="M125" s="1" t="s">
        <v>56</v>
      </c>
      <c r="N125" s="1" t="s">
        <v>42</v>
      </c>
      <c r="O125" s="1" t="s">
        <v>43</v>
      </c>
      <c r="P125" s="1" t="s">
        <v>1093</v>
      </c>
      <c r="Q125" s="1" t="s">
        <v>42</v>
      </c>
      <c r="R125" s="1" t="s">
        <v>1094</v>
      </c>
      <c r="S125" s="1" t="s">
        <v>367</v>
      </c>
      <c r="T125" s="1" t="s">
        <v>60</v>
      </c>
      <c r="U125" s="1" t="s">
        <v>145</v>
      </c>
      <c r="V125" s="1" t="s">
        <v>1095</v>
      </c>
      <c r="W125" s="1" t="s">
        <v>35</v>
      </c>
      <c r="X125" s="1" t="s">
        <v>35</v>
      </c>
      <c r="Y125" s="1" t="s">
        <v>49</v>
      </c>
      <c r="Z125" s="1" t="s">
        <v>35</v>
      </c>
      <c r="AA125" s="1" t="s">
        <v>35</v>
      </c>
      <c r="AB125" s="1" t="s">
        <v>35</v>
      </c>
      <c r="AC125" s="1" t="s">
        <v>921</v>
      </c>
      <c r="AD125" s="1" t="s">
        <v>1096</v>
      </c>
      <c r="AE125" s="1" t="s">
        <v>1097</v>
      </c>
      <c r="AF125" s="1" t="s">
        <v>1098</v>
      </c>
    </row>
    <row r="126" spans="1:32" x14ac:dyDescent="0.25">
      <c r="A126" s="1" t="s">
        <v>65</v>
      </c>
      <c r="B126" s="1" t="s">
        <v>1099</v>
      </c>
      <c r="C126" s="1" t="s">
        <v>1100</v>
      </c>
      <c r="D126" s="1" t="s">
        <v>1101</v>
      </c>
      <c r="E126" s="24">
        <v>45835</v>
      </c>
      <c r="F126" s="2" t="s">
        <v>39</v>
      </c>
      <c r="G126" s="1" t="s">
        <v>806</v>
      </c>
      <c r="H126" s="1" t="s">
        <v>36</v>
      </c>
      <c r="I126" s="1" t="s">
        <v>37</v>
      </c>
      <c r="J126" s="1" t="s">
        <v>432</v>
      </c>
      <c r="K126" s="1" t="s">
        <v>55</v>
      </c>
      <c r="L126" s="1" t="s">
        <v>176</v>
      </c>
      <c r="M126" s="1" t="s">
        <v>109</v>
      </c>
      <c r="N126" s="1" t="s">
        <v>42</v>
      </c>
      <c r="O126" s="1" t="s">
        <v>43</v>
      </c>
      <c r="P126" s="1" t="s">
        <v>109</v>
      </c>
      <c r="Q126" s="1" t="s">
        <v>42</v>
      </c>
      <c r="R126" s="1" t="s">
        <v>434</v>
      </c>
      <c r="S126" s="1" t="s">
        <v>367</v>
      </c>
      <c r="T126" s="1" t="s">
        <v>60</v>
      </c>
      <c r="U126" s="1" t="s">
        <v>61</v>
      </c>
      <c r="V126" s="1" t="s">
        <v>1102</v>
      </c>
      <c r="W126" s="1" t="s">
        <v>35</v>
      </c>
      <c r="X126" s="1" t="s">
        <v>35</v>
      </c>
      <c r="Y126" s="1" t="s">
        <v>49</v>
      </c>
      <c r="Z126" s="1" t="s">
        <v>35</v>
      </c>
      <c r="AA126" s="1" t="s">
        <v>35</v>
      </c>
      <c r="AB126" s="1" t="s">
        <v>35</v>
      </c>
      <c r="AC126" s="1" t="s">
        <v>35</v>
      </c>
      <c r="AD126" s="1" t="s">
        <v>35</v>
      </c>
      <c r="AE126" s="1" t="s">
        <v>1103</v>
      </c>
      <c r="AF126" s="1" t="s">
        <v>1104</v>
      </c>
    </row>
    <row r="127" spans="1:32" x14ac:dyDescent="0.25">
      <c r="A127" s="1" t="s">
        <v>50</v>
      </c>
      <c r="B127" s="1" t="s">
        <v>1105</v>
      </c>
      <c r="C127" s="1" t="s">
        <v>1106</v>
      </c>
      <c r="D127" s="1" t="s">
        <v>1107</v>
      </c>
      <c r="E127" s="24">
        <v>45837</v>
      </c>
      <c r="F127" s="2" t="s">
        <v>103</v>
      </c>
      <c r="G127" s="1" t="s">
        <v>54</v>
      </c>
      <c r="H127" s="1" t="s">
        <v>36</v>
      </c>
      <c r="I127" s="1" t="s">
        <v>37</v>
      </c>
      <c r="J127" s="1" t="s">
        <v>38</v>
      </c>
      <c r="K127" s="1" t="s">
        <v>55</v>
      </c>
      <c r="L127" s="1" t="s">
        <v>176</v>
      </c>
      <c r="M127" s="1" t="s">
        <v>458</v>
      </c>
      <c r="N127" s="1" t="s">
        <v>42</v>
      </c>
      <c r="O127" s="1" t="s">
        <v>43</v>
      </c>
      <c r="P127" s="1" t="s">
        <v>600</v>
      </c>
      <c r="Q127" s="1" t="s">
        <v>42</v>
      </c>
      <c r="R127" s="1" t="s">
        <v>1108</v>
      </c>
      <c r="S127" s="1" t="s">
        <v>667</v>
      </c>
      <c r="T127" s="1" t="s">
        <v>46</v>
      </c>
      <c r="U127" s="1" t="s">
        <v>61</v>
      </c>
      <c r="V127" s="1" t="s">
        <v>1109</v>
      </c>
      <c r="W127" s="1" t="s">
        <v>35</v>
      </c>
      <c r="X127" s="1" t="s">
        <v>35</v>
      </c>
      <c r="Y127" s="1" t="s">
        <v>49</v>
      </c>
      <c r="Z127" s="1" t="s">
        <v>35</v>
      </c>
      <c r="AA127" s="1" t="s">
        <v>35</v>
      </c>
      <c r="AB127" s="1" t="s">
        <v>35</v>
      </c>
      <c r="AC127" s="1" t="s">
        <v>35</v>
      </c>
      <c r="AD127" s="1" t="s">
        <v>35</v>
      </c>
      <c r="AE127" s="1" t="s">
        <v>1110</v>
      </c>
      <c r="AF127" s="1" t="s">
        <v>1111</v>
      </c>
    </row>
    <row r="128" spans="1:32" x14ac:dyDescent="0.25">
      <c r="A128" s="1" t="s">
        <v>65</v>
      </c>
      <c r="B128" s="1" t="s">
        <v>1112</v>
      </c>
      <c r="C128" s="48" t="s">
        <v>1113</v>
      </c>
      <c r="D128" s="1" t="s">
        <v>1114</v>
      </c>
      <c r="E128" s="24">
        <v>45837</v>
      </c>
      <c r="F128" s="2" t="s">
        <v>39</v>
      </c>
      <c r="G128" s="1" t="s">
        <v>35</v>
      </c>
      <c r="H128" s="1" t="s">
        <v>36</v>
      </c>
      <c r="I128" s="1" t="s">
        <v>37</v>
      </c>
      <c r="J128" s="1" t="s">
        <v>38</v>
      </c>
      <c r="K128" s="1" t="s">
        <v>39</v>
      </c>
      <c r="L128" s="1" t="s">
        <v>69</v>
      </c>
      <c r="M128" s="1" t="s">
        <v>1115</v>
      </c>
      <c r="N128" s="1" t="s">
        <v>42</v>
      </c>
      <c r="O128" s="1" t="s">
        <v>43</v>
      </c>
      <c r="P128" s="1" t="s">
        <v>1116</v>
      </c>
      <c r="Q128" s="1" t="s">
        <v>42</v>
      </c>
      <c r="R128" s="1" t="s">
        <v>1117</v>
      </c>
      <c r="S128" s="1" t="s">
        <v>510</v>
      </c>
      <c r="T128" s="1" t="s">
        <v>60</v>
      </c>
      <c r="U128" s="1" t="s">
        <v>61</v>
      </c>
      <c r="V128" s="1" t="s">
        <v>1118</v>
      </c>
      <c r="W128" s="1" t="s">
        <v>35</v>
      </c>
      <c r="X128" s="1" t="s">
        <v>35</v>
      </c>
      <c r="Y128" s="1" t="s">
        <v>104</v>
      </c>
      <c r="Z128" s="1" t="s">
        <v>35</v>
      </c>
      <c r="AA128" s="1" t="s">
        <v>35</v>
      </c>
      <c r="AB128" s="1" t="s">
        <v>35</v>
      </c>
      <c r="AC128" s="1" t="s">
        <v>35</v>
      </c>
      <c r="AD128" s="1" t="s">
        <v>35</v>
      </c>
      <c r="AE128" s="1" t="s">
        <v>1119</v>
      </c>
      <c r="AF128" s="1" t="s">
        <v>1120</v>
      </c>
    </row>
    <row r="129" spans="1:35" x14ac:dyDescent="0.25">
      <c r="A129" s="1" t="s">
        <v>50</v>
      </c>
      <c r="B129" s="1" t="s">
        <v>1121</v>
      </c>
      <c r="C129" s="48" t="s">
        <v>1122</v>
      </c>
      <c r="D129" s="1" t="s">
        <v>1123</v>
      </c>
      <c r="E129" s="24">
        <v>45837</v>
      </c>
      <c r="F129" s="2" t="s">
        <v>102</v>
      </c>
      <c r="G129" s="1" t="s">
        <v>54</v>
      </c>
      <c r="H129" s="1" t="s">
        <v>36</v>
      </c>
      <c r="I129" s="1" t="s">
        <v>37</v>
      </c>
      <c r="J129" s="1" t="s">
        <v>38</v>
      </c>
      <c r="K129" s="1" t="s">
        <v>55</v>
      </c>
      <c r="L129" s="1" t="s">
        <v>242</v>
      </c>
      <c r="M129" s="1" t="s">
        <v>119</v>
      </c>
      <c r="N129" s="1" t="s">
        <v>42</v>
      </c>
      <c r="O129" s="1" t="s">
        <v>43</v>
      </c>
      <c r="P129" s="1" t="s">
        <v>257</v>
      </c>
      <c r="Q129" s="1" t="s">
        <v>42</v>
      </c>
      <c r="R129" s="1" t="s">
        <v>1124</v>
      </c>
      <c r="S129" s="1" t="s">
        <v>555</v>
      </c>
      <c r="T129" s="1" t="s">
        <v>60</v>
      </c>
      <c r="U129" s="1" t="s">
        <v>81</v>
      </c>
      <c r="V129" s="1" t="s">
        <v>1125</v>
      </c>
      <c r="W129" s="1" t="s">
        <v>35</v>
      </c>
      <c r="X129" s="1" t="s">
        <v>35</v>
      </c>
      <c r="Y129" s="1" t="s">
        <v>49</v>
      </c>
      <c r="Z129" s="1" t="s">
        <v>35</v>
      </c>
      <c r="AA129" s="1" t="s">
        <v>35</v>
      </c>
      <c r="AB129" s="1" t="s">
        <v>35</v>
      </c>
      <c r="AC129" s="1" t="s">
        <v>35</v>
      </c>
      <c r="AD129" s="1" t="s">
        <v>35</v>
      </c>
      <c r="AE129" s="1" t="s">
        <v>1126</v>
      </c>
      <c r="AF129" s="1" t="s">
        <v>1127</v>
      </c>
    </row>
    <row r="130" spans="1:35" x14ac:dyDescent="0.25">
      <c r="A130" s="1" t="s">
        <v>50</v>
      </c>
      <c r="B130" s="1" t="s">
        <v>1128</v>
      </c>
      <c r="C130" s="48" t="s">
        <v>1129</v>
      </c>
      <c r="D130" s="1" t="s">
        <v>1130</v>
      </c>
      <c r="E130" s="24">
        <v>45844</v>
      </c>
      <c r="F130" s="2" t="s">
        <v>103</v>
      </c>
      <c r="G130" s="1" t="s">
        <v>35</v>
      </c>
      <c r="H130" s="1" t="s">
        <v>36</v>
      </c>
      <c r="I130" s="1" t="s">
        <v>37</v>
      </c>
      <c r="J130" s="1" t="s">
        <v>38</v>
      </c>
      <c r="K130" s="1" t="s">
        <v>55</v>
      </c>
      <c r="L130" s="1" t="s">
        <v>69</v>
      </c>
      <c r="M130" s="1" t="s">
        <v>1115</v>
      </c>
      <c r="N130" s="1" t="s">
        <v>42</v>
      </c>
      <c r="O130" s="1" t="s">
        <v>43</v>
      </c>
      <c r="P130" s="1" t="s">
        <v>1131</v>
      </c>
      <c r="Q130" s="1" t="s">
        <v>42</v>
      </c>
      <c r="R130" s="1" t="s">
        <v>1132</v>
      </c>
      <c r="S130" s="1" t="s">
        <v>89</v>
      </c>
      <c r="T130" s="1" t="s">
        <v>46</v>
      </c>
      <c r="U130" s="1" t="s">
        <v>81</v>
      </c>
      <c r="V130" s="1">
        <v>531262174</v>
      </c>
      <c r="W130" s="1" t="s">
        <v>35</v>
      </c>
      <c r="X130" s="1" t="s">
        <v>35</v>
      </c>
      <c r="Y130" s="1" t="s">
        <v>49</v>
      </c>
      <c r="Z130" s="1" t="s">
        <v>35</v>
      </c>
      <c r="AA130" s="1" t="s">
        <v>35</v>
      </c>
      <c r="AB130" s="1" t="s">
        <v>35</v>
      </c>
      <c r="AC130" s="1" t="s">
        <v>35</v>
      </c>
      <c r="AD130" s="1" t="s">
        <v>35</v>
      </c>
      <c r="AE130" s="1" t="s">
        <v>1133</v>
      </c>
      <c r="AF130" s="1" t="s">
        <v>1134</v>
      </c>
    </row>
    <row r="131" spans="1:35" x14ac:dyDescent="0.25">
      <c r="A131" s="1" t="s">
        <v>105</v>
      </c>
      <c r="B131" s="1" t="s">
        <v>1135</v>
      </c>
      <c r="C131" s="48" t="s">
        <v>1136</v>
      </c>
      <c r="D131" s="1" t="s">
        <v>1137</v>
      </c>
      <c r="E131" s="24">
        <v>45845</v>
      </c>
      <c r="F131" s="2" t="s">
        <v>151</v>
      </c>
      <c r="G131" s="1" t="s">
        <v>54</v>
      </c>
      <c r="H131" s="1" t="s">
        <v>36</v>
      </c>
      <c r="I131" s="1" t="s">
        <v>37</v>
      </c>
      <c r="J131" s="1" t="s">
        <v>38</v>
      </c>
      <c r="K131" s="1" t="s">
        <v>55</v>
      </c>
      <c r="L131" s="1" t="s">
        <v>40</v>
      </c>
      <c r="M131" s="1" t="s">
        <v>56</v>
      </c>
      <c r="N131" s="1" t="s">
        <v>42</v>
      </c>
      <c r="O131" s="1" t="s">
        <v>43</v>
      </c>
      <c r="P131" s="1" t="s">
        <v>158</v>
      </c>
      <c r="Q131" s="1" t="s">
        <v>42</v>
      </c>
      <c r="R131" s="1" t="s">
        <v>1138</v>
      </c>
      <c r="S131" s="1" t="s">
        <v>675</v>
      </c>
      <c r="T131" s="1" t="s">
        <v>60</v>
      </c>
      <c r="U131" s="1" t="s">
        <v>112</v>
      </c>
      <c r="V131" s="1">
        <v>538561182</v>
      </c>
      <c r="W131" s="1" t="s">
        <v>35</v>
      </c>
      <c r="X131" s="1" t="s">
        <v>35</v>
      </c>
      <c r="Y131" s="1" t="s">
        <v>49</v>
      </c>
      <c r="Z131" s="1" t="s">
        <v>35</v>
      </c>
      <c r="AA131" s="1" t="s">
        <v>35</v>
      </c>
      <c r="AB131" s="1" t="s">
        <v>35</v>
      </c>
      <c r="AC131" s="1" t="s">
        <v>35</v>
      </c>
      <c r="AD131" s="1" t="s">
        <v>35</v>
      </c>
      <c r="AE131" s="1" t="s">
        <v>1139</v>
      </c>
      <c r="AF131" s="1" t="s">
        <v>1140</v>
      </c>
    </row>
    <row r="132" spans="1:35" x14ac:dyDescent="0.25">
      <c r="A132" s="1" t="s">
        <v>65</v>
      </c>
      <c r="B132" s="1" t="s">
        <v>1141</v>
      </c>
      <c r="C132" s="48" t="s">
        <v>1142</v>
      </c>
      <c r="D132" s="1" t="s">
        <v>1143</v>
      </c>
      <c r="E132" s="24">
        <v>45845</v>
      </c>
      <c r="F132" s="2" t="s">
        <v>103</v>
      </c>
      <c r="G132" s="1" t="s">
        <v>54</v>
      </c>
      <c r="H132" s="1" t="s">
        <v>36</v>
      </c>
      <c r="I132" s="1" t="s">
        <v>37</v>
      </c>
      <c r="J132" s="1" t="s">
        <v>38</v>
      </c>
      <c r="K132" s="1" t="s">
        <v>55</v>
      </c>
      <c r="L132" s="1" t="s">
        <v>69</v>
      </c>
      <c r="M132" s="1" t="s">
        <v>56</v>
      </c>
      <c r="N132" s="1" t="s">
        <v>42</v>
      </c>
      <c r="O132" s="1" t="s">
        <v>43</v>
      </c>
      <c r="P132" s="1" t="s">
        <v>1144</v>
      </c>
      <c r="Q132" s="1" t="s">
        <v>42</v>
      </c>
      <c r="R132" s="1" t="s">
        <v>1145</v>
      </c>
      <c r="S132" s="1" t="s">
        <v>80</v>
      </c>
      <c r="T132" s="1" t="s">
        <v>60</v>
      </c>
      <c r="U132" s="1" t="s">
        <v>47</v>
      </c>
      <c r="V132" s="1" t="s">
        <v>1146</v>
      </c>
      <c r="W132" s="1" t="s">
        <v>35</v>
      </c>
      <c r="X132" s="1" t="s">
        <v>35</v>
      </c>
      <c r="Y132" s="1" t="s">
        <v>49</v>
      </c>
      <c r="Z132" s="1" t="s">
        <v>35</v>
      </c>
      <c r="AA132" s="1" t="s">
        <v>35</v>
      </c>
      <c r="AB132" s="1" t="s">
        <v>35</v>
      </c>
      <c r="AC132" s="1" t="s">
        <v>35</v>
      </c>
      <c r="AD132" s="1" t="s">
        <v>35</v>
      </c>
      <c r="AE132" s="1" t="s">
        <v>1147</v>
      </c>
      <c r="AF132" s="1" t="s">
        <v>1148</v>
      </c>
    </row>
    <row r="133" spans="1:35" s="45" customFormat="1" x14ac:dyDescent="0.25">
      <c r="A133" s="1" t="s">
        <v>50</v>
      </c>
      <c r="B133" s="1" t="s">
        <v>1149</v>
      </c>
      <c r="C133" s="48" t="s">
        <v>1150</v>
      </c>
      <c r="D133" s="1" t="s">
        <v>1151</v>
      </c>
      <c r="E133" s="24">
        <v>45845</v>
      </c>
      <c r="F133" s="2" t="s">
        <v>102</v>
      </c>
      <c r="G133" s="1" t="s">
        <v>302</v>
      </c>
      <c r="H133" s="1" t="s">
        <v>36</v>
      </c>
      <c r="I133" s="1" t="s">
        <v>37</v>
      </c>
      <c r="J133" s="1" t="s">
        <v>38</v>
      </c>
      <c r="K133" s="1" t="s">
        <v>55</v>
      </c>
      <c r="L133" s="1" t="s">
        <v>40</v>
      </c>
      <c r="M133" s="1" t="s">
        <v>835</v>
      </c>
      <c r="N133" s="1" t="s">
        <v>42</v>
      </c>
      <c r="O133" s="1" t="s">
        <v>43</v>
      </c>
      <c r="P133" s="1" t="s">
        <v>835</v>
      </c>
      <c r="Q133" s="1" t="s">
        <v>42</v>
      </c>
      <c r="R133" s="1" t="s">
        <v>1152</v>
      </c>
      <c r="S133" s="1" t="s">
        <v>167</v>
      </c>
      <c r="T133" s="1" t="s">
        <v>60</v>
      </c>
      <c r="U133" s="1" t="s">
        <v>757</v>
      </c>
      <c r="V133" s="1" t="s">
        <v>1153</v>
      </c>
      <c r="W133" s="1" t="s">
        <v>1154</v>
      </c>
      <c r="X133" s="1" t="s">
        <v>1155</v>
      </c>
      <c r="Y133" s="1" t="s">
        <v>104</v>
      </c>
      <c r="Z133" s="1" t="s">
        <v>35</v>
      </c>
      <c r="AA133" s="1" t="s">
        <v>35</v>
      </c>
      <c r="AB133" s="1" t="s">
        <v>35</v>
      </c>
      <c r="AC133" s="1" t="s">
        <v>35</v>
      </c>
      <c r="AD133" s="1" t="s">
        <v>35</v>
      </c>
      <c r="AE133" s="1" t="s">
        <v>1156</v>
      </c>
      <c r="AF133" s="1" t="s">
        <v>1157</v>
      </c>
      <c r="AG133" s="1"/>
    </row>
    <row r="134" spans="1:35" s="46" customFormat="1" x14ac:dyDescent="0.25">
      <c r="A134" s="1" t="s">
        <v>50</v>
      </c>
      <c r="B134" s="1" t="s">
        <v>1158</v>
      </c>
      <c r="C134" s="48" t="s">
        <v>1159</v>
      </c>
      <c r="D134" s="1" t="s">
        <v>1160</v>
      </c>
      <c r="E134" s="24">
        <v>45851</v>
      </c>
      <c r="F134" s="47" t="s">
        <v>103</v>
      </c>
      <c r="G134" s="1" t="s">
        <v>54</v>
      </c>
      <c r="H134" s="1" t="s">
        <v>36</v>
      </c>
      <c r="I134" s="1" t="s">
        <v>37</v>
      </c>
      <c r="J134" s="1" t="s">
        <v>38</v>
      </c>
      <c r="K134" s="1" t="s">
        <v>55</v>
      </c>
      <c r="L134" s="1" t="s">
        <v>40</v>
      </c>
      <c r="M134" s="1" t="s">
        <v>56</v>
      </c>
      <c r="N134" s="1" t="s">
        <v>42</v>
      </c>
      <c r="O134" s="1" t="s">
        <v>43</v>
      </c>
      <c r="P134" s="1" t="s">
        <v>1161</v>
      </c>
      <c r="Q134" s="1" t="s">
        <v>42</v>
      </c>
      <c r="R134" s="1" t="s">
        <v>1162</v>
      </c>
      <c r="S134" s="1" t="s">
        <v>80</v>
      </c>
      <c r="T134" s="1" t="s">
        <v>60</v>
      </c>
      <c r="U134" s="1" t="s">
        <v>145</v>
      </c>
      <c r="V134" s="1" t="s">
        <v>1163</v>
      </c>
      <c r="W134" s="1" t="s">
        <v>35</v>
      </c>
      <c r="X134" s="1" t="s">
        <v>35</v>
      </c>
      <c r="Y134" s="1" t="s">
        <v>104</v>
      </c>
      <c r="Z134" s="1" t="s">
        <v>35</v>
      </c>
      <c r="AA134" s="1" t="s">
        <v>35</v>
      </c>
      <c r="AB134" s="1" t="s">
        <v>35</v>
      </c>
      <c r="AC134" s="1" t="s">
        <v>35</v>
      </c>
      <c r="AD134" s="1" t="s">
        <v>35</v>
      </c>
      <c r="AE134" s="1" t="s">
        <v>1164</v>
      </c>
      <c r="AF134" s="1" t="s">
        <v>1165</v>
      </c>
      <c r="AG134" s="1"/>
    </row>
    <row r="135" spans="1:35" s="45" customFormat="1" x14ac:dyDescent="0.25">
      <c r="A135" s="1" t="s">
        <v>65</v>
      </c>
      <c r="B135" s="1" t="s">
        <v>1166</v>
      </c>
      <c r="C135" s="48" t="s">
        <v>1167</v>
      </c>
      <c r="D135" s="1" t="s">
        <v>1168</v>
      </c>
      <c r="E135" s="24">
        <v>45851</v>
      </c>
      <c r="F135" s="2" t="s">
        <v>103</v>
      </c>
      <c r="G135" s="1" t="s">
        <v>54</v>
      </c>
      <c r="H135" s="1" t="s">
        <v>36</v>
      </c>
      <c r="I135" s="1" t="s">
        <v>37</v>
      </c>
      <c r="J135" s="1" t="s">
        <v>38</v>
      </c>
      <c r="K135" s="1" t="s">
        <v>55</v>
      </c>
      <c r="L135" s="1" t="s">
        <v>40</v>
      </c>
      <c r="M135" s="1" t="s">
        <v>56</v>
      </c>
      <c r="N135" s="1" t="s">
        <v>42</v>
      </c>
      <c r="O135" s="1" t="s">
        <v>43</v>
      </c>
      <c r="P135" s="1" t="s">
        <v>56</v>
      </c>
      <c r="Q135" s="1" t="s">
        <v>42</v>
      </c>
      <c r="R135" s="1" t="s">
        <v>1169</v>
      </c>
      <c r="S135" s="1" t="s">
        <v>80</v>
      </c>
      <c r="T135" s="1" t="s">
        <v>60</v>
      </c>
      <c r="U135" s="1" t="s">
        <v>215</v>
      </c>
      <c r="V135" s="1" t="s">
        <v>1170</v>
      </c>
      <c r="W135" s="1" t="s">
        <v>35</v>
      </c>
      <c r="X135" s="1" t="s">
        <v>35</v>
      </c>
      <c r="Y135" s="1" t="s">
        <v>104</v>
      </c>
      <c r="Z135" s="1" t="s">
        <v>35</v>
      </c>
      <c r="AA135" s="1" t="s">
        <v>35</v>
      </c>
      <c r="AB135" s="1" t="s">
        <v>35</v>
      </c>
      <c r="AC135" s="1" t="s">
        <v>35</v>
      </c>
      <c r="AD135" s="1" t="s">
        <v>35</v>
      </c>
      <c r="AE135" s="1" t="s">
        <v>1171</v>
      </c>
      <c r="AF135" s="1" t="s">
        <v>1172</v>
      </c>
      <c r="AG135" s="1"/>
    </row>
    <row r="136" spans="1:35" s="46" customFormat="1" x14ac:dyDescent="0.25">
      <c r="A136" s="1" t="s">
        <v>50</v>
      </c>
      <c r="B136" s="1" t="s">
        <v>1173</v>
      </c>
      <c r="C136" s="48" t="s">
        <v>1174</v>
      </c>
      <c r="D136" s="1" t="s">
        <v>1175</v>
      </c>
      <c r="E136" s="24">
        <v>45851</v>
      </c>
      <c r="F136" s="47" t="s">
        <v>103</v>
      </c>
      <c r="G136" s="1" t="s">
        <v>302</v>
      </c>
      <c r="H136" s="1" t="s">
        <v>36</v>
      </c>
      <c r="I136" s="1" t="s">
        <v>37</v>
      </c>
      <c r="J136" s="1" t="s">
        <v>38</v>
      </c>
      <c r="K136" s="1" t="s">
        <v>55</v>
      </c>
      <c r="L136" s="1" t="s">
        <v>40</v>
      </c>
      <c r="M136" s="1" t="s">
        <v>70</v>
      </c>
      <c r="N136" s="1" t="s">
        <v>42</v>
      </c>
      <c r="O136" s="1" t="s">
        <v>43</v>
      </c>
      <c r="P136" s="1" t="s">
        <v>70</v>
      </c>
      <c r="Q136" s="1" t="s">
        <v>42</v>
      </c>
      <c r="R136" s="1" t="s">
        <v>303</v>
      </c>
      <c r="S136" s="1" t="s">
        <v>304</v>
      </c>
      <c r="T136" s="1" t="s">
        <v>46</v>
      </c>
      <c r="U136" s="1" t="s">
        <v>145</v>
      </c>
      <c r="V136" s="1" t="s">
        <v>1176</v>
      </c>
      <c r="W136" s="1" t="s">
        <v>125</v>
      </c>
      <c r="X136" s="1" t="s">
        <v>1177</v>
      </c>
      <c r="Y136" s="1" t="s">
        <v>104</v>
      </c>
      <c r="Z136" s="1" t="s">
        <v>35</v>
      </c>
      <c r="AA136" s="1" t="s">
        <v>35</v>
      </c>
      <c r="AB136" s="1" t="s">
        <v>35</v>
      </c>
      <c r="AC136" s="1" t="s">
        <v>35</v>
      </c>
      <c r="AD136" s="1" t="s">
        <v>35</v>
      </c>
      <c r="AE136" s="1" t="s">
        <v>1178</v>
      </c>
      <c r="AF136" s="1" t="s">
        <v>1179</v>
      </c>
      <c r="AG136" s="1"/>
    </row>
    <row r="137" spans="1:35" s="45" customFormat="1" x14ac:dyDescent="0.25">
      <c r="A137" s="1" t="s">
        <v>50</v>
      </c>
      <c r="B137" s="1" t="s">
        <v>1180</v>
      </c>
      <c r="C137" s="48" t="s">
        <v>1181</v>
      </c>
      <c r="D137" s="1" t="s">
        <v>1182</v>
      </c>
      <c r="E137" s="24">
        <v>45852</v>
      </c>
      <c r="F137" s="2" t="s">
        <v>103</v>
      </c>
      <c r="G137" s="1" t="s">
        <v>302</v>
      </c>
      <c r="H137" s="1" t="s">
        <v>36</v>
      </c>
      <c r="I137" s="1" t="s">
        <v>37</v>
      </c>
      <c r="J137" s="1" t="s">
        <v>38</v>
      </c>
      <c r="K137" s="1" t="s">
        <v>55</v>
      </c>
      <c r="L137" s="1" t="s">
        <v>40</v>
      </c>
      <c r="M137" s="1" t="s">
        <v>835</v>
      </c>
      <c r="N137" s="1" t="s">
        <v>42</v>
      </c>
      <c r="O137" s="1" t="s">
        <v>43</v>
      </c>
      <c r="P137" s="1" t="s">
        <v>835</v>
      </c>
      <c r="Q137" s="1" t="s">
        <v>42</v>
      </c>
      <c r="R137" s="1" t="s">
        <v>1183</v>
      </c>
      <c r="S137" s="1" t="s">
        <v>1184</v>
      </c>
      <c r="T137" s="1" t="s">
        <v>60</v>
      </c>
      <c r="U137" s="1" t="s">
        <v>145</v>
      </c>
      <c r="V137" s="1" t="s">
        <v>1185</v>
      </c>
      <c r="W137" s="1" t="s">
        <v>1154</v>
      </c>
      <c r="X137" s="1" t="s">
        <v>1177</v>
      </c>
      <c r="Y137" s="1" t="s">
        <v>104</v>
      </c>
      <c r="Z137" s="1" t="s">
        <v>35</v>
      </c>
      <c r="AA137" s="1" t="s">
        <v>35</v>
      </c>
      <c r="AB137" s="1" t="s">
        <v>35</v>
      </c>
      <c r="AC137" s="1" t="s">
        <v>35</v>
      </c>
      <c r="AD137" s="1" t="s">
        <v>35</v>
      </c>
      <c r="AE137" s="1" t="s">
        <v>1186</v>
      </c>
      <c r="AF137" s="1" t="s">
        <v>1187</v>
      </c>
      <c r="AG137" s="1"/>
    </row>
    <row r="138" spans="1:35" s="46" customFormat="1" x14ac:dyDescent="0.25">
      <c r="A138" s="1" t="s">
        <v>50</v>
      </c>
      <c r="B138" s="1" t="s">
        <v>1188</v>
      </c>
      <c r="C138" s="48" t="s">
        <v>1189</v>
      </c>
      <c r="D138" s="1" t="s">
        <v>1190</v>
      </c>
      <c r="E138" s="24">
        <v>45852</v>
      </c>
      <c r="F138" s="47" t="s">
        <v>103</v>
      </c>
      <c r="G138" s="1" t="s">
        <v>302</v>
      </c>
      <c r="H138" s="1" t="s">
        <v>36</v>
      </c>
      <c r="I138" s="1" t="s">
        <v>37</v>
      </c>
      <c r="J138" s="1" t="s">
        <v>38</v>
      </c>
      <c r="K138" s="1" t="s">
        <v>55</v>
      </c>
      <c r="L138" s="1" t="s">
        <v>40</v>
      </c>
      <c r="M138" s="1" t="s">
        <v>835</v>
      </c>
      <c r="N138" s="1" t="s">
        <v>42</v>
      </c>
      <c r="O138" s="1" t="s">
        <v>43</v>
      </c>
      <c r="P138" s="1" t="s">
        <v>835</v>
      </c>
      <c r="Q138" s="1" t="s">
        <v>42</v>
      </c>
      <c r="R138" s="1" t="s">
        <v>1191</v>
      </c>
      <c r="S138" s="1" t="s">
        <v>502</v>
      </c>
      <c r="T138" s="1" t="s">
        <v>60</v>
      </c>
      <c r="U138" s="1" t="s">
        <v>145</v>
      </c>
      <c r="V138" s="1" t="s">
        <v>1192</v>
      </c>
      <c r="W138" s="1" t="s">
        <v>1154</v>
      </c>
      <c r="X138" s="1" t="s">
        <v>1193</v>
      </c>
      <c r="Y138" s="1" t="s">
        <v>104</v>
      </c>
      <c r="Z138" s="1" t="s">
        <v>35</v>
      </c>
      <c r="AA138" s="1" t="s">
        <v>35</v>
      </c>
      <c r="AB138" s="1" t="s">
        <v>35</v>
      </c>
      <c r="AC138" s="1" t="s">
        <v>35</v>
      </c>
      <c r="AD138" s="1" t="s">
        <v>35</v>
      </c>
      <c r="AE138" s="1" t="s">
        <v>1194</v>
      </c>
      <c r="AF138" s="1" t="s">
        <v>1195</v>
      </c>
      <c r="AG138" s="1"/>
    </row>
    <row r="139" spans="1:35" s="45" customFormat="1" x14ac:dyDescent="0.25">
      <c r="A139" s="1" t="s">
        <v>50</v>
      </c>
      <c r="B139" s="1" t="s">
        <v>1196</v>
      </c>
      <c r="C139" s="48" t="s">
        <v>1197</v>
      </c>
      <c r="D139" s="1" t="s">
        <v>1198</v>
      </c>
      <c r="E139" s="24">
        <v>45853</v>
      </c>
      <c r="F139" s="2" t="s">
        <v>103</v>
      </c>
      <c r="G139" s="1" t="s">
        <v>194</v>
      </c>
      <c r="H139" s="1" t="s">
        <v>36</v>
      </c>
      <c r="I139" s="1" t="s">
        <v>37</v>
      </c>
      <c r="J139" s="1" t="s">
        <v>38</v>
      </c>
      <c r="K139" s="1" t="s">
        <v>55</v>
      </c>
      <c r="L139" s="1" t="s">
        <v>40</v>
      </c>
      <c r="M139" s="1" t="s">
        <v>177</v>
      </c>
      <c r="N139" s="1" t="s">
        <v>42</v>
      </c>
      <c r="O139" s="1" t="s">
        <v>43</v>
      </c>
      <c r="P139" s="1" t="s">
        <v>1199</v>
      </c>
      <c r="Q139" s="1" t="s">
        <v>42</v>
      </c>
      <c r="R139" s="1" t="s">
        <v>1200</v>
      </c>
      <c r="S139" s="1" t="s">
        <v>89</v>
      </c>
      <c r="T139" s="1" t="s">
        <v>60</v>
      </c>
      <c r="U139" s="1" t="s">
        <v>81</v>
      </c>
      <c r="V139" s="1" t="s">
        <v>1201</v>
      </c>
      <c r="W139" s="1" t="s">
        <v>35</v>
      </c>
      <c r="X139" s="1" t="s">
        <v>35</v>
      </c>
      <c r="Y139" s="1" t="s">
        <v>49</v>
      </c>
      <c r="Z139" s="1" t="s">
        <v>35</v>
      </c>
      <c r="AA139" s="1" t="s">
        <v>35</v>
      </c>
      <c r="AB139" s="1" t="s">
        <v>35</v>
      </c>
      <c r="AC139" s="1" t="s">
        <v>35</v>
      </c>
      <c r="AD139" s="1" t="s">
        <v>35</v>
      </c>
      <c r="AE139" s="1" t="s">
        <v>1202</v>
      </c>
      <c r="AF139" s="1" t="s">
        <v>1203</v>
      </c>
      <c r="AG139" s="1"/>
    </row>
    <row r="140" spans="1:35" s="46" customFormat="1" x14ac:dyDescent="0.25">
      <c r="A140" s="1" t="s">
        <v>65</v>
      </c>
      <c r="B140" s="1" t="s">
        <v>1204</v>
      </c>
      <c r="C140" s="48" t="s">
        <v>1205</v>
      </c>
      <c r="D140" s="1" t="s">
        <v>1206</v>
      </c>
      <c r="E140" s="24">
        <v>45854</v>
      </c>
      <c r="F140" s="47" t="s">
        <v>103</v>
      </c>
      <c r="G140" s="1" t="s">
        <v>35</v>
      </c>
      <c r="H140" s="1" t="s">
        <v>36</v>
      </c>
      <c r="I140" s="1" t="s">
        <v>37</v>
      </c>
      <c r="J140" s="1" t="s">
        <v>38</v>
      </c>
      <c r="K140" s="1" t="s">
        <v>55</v>
      </c>
      <c r="L140" s="1" t="s">
        <v>176</v>
      </c>
      <c r="M140" s="1" t="s">
        <v>458</v>
      </c>
      <c r="N140" s="1" t="s">
        <v>42</v>
      </c>
      <c r="O140" s="1" t="s">
        <v>43</v>
      </c>
      <c r="P140" s="1" t="s">
        <v>1207</v>
      </c>
      <c r="Q140" s="1" t="s">
        <v>42</v>
      </c>
      <c r="R140" s="1" t="s">
        <v>1208</v>
      </c>
      <c r="S140" s="1" t="s">
        <v>89</v>
      </c>
      <c r="T140" s="1" t="s">
        <v>60</v>
      </c>
      <c r="U140" s="1" t="s">
        <v>145</v>
      </c>
      <c r="V140" s="1" t="s">
        <v>1209</v>
      </c>
      <c r="W140" s="1" t="s">
        <v>35</v>
      </c>
      <c r="X140" s="1" t="s">
        <v>35</v>
      </c>
      <c r="Y140" s="1" t="s">
        <v>49</v>
      </c>
      <c r="Z140" s="1" t="s">
        <v>35</v>
      </c>
      <c r="AA140" s="1" t="s">
        <v>35</v>
      </c>
      <c r="AB140" s="1" t="s">
        <v>35</v>
      </c>
      <c r="AC140" s="1" t="s">
        <v>35</v>
      </c>
      <c r="AD140" s="1" t="s">
        <v>35</v>
      </c>
      <c r="AE140" s="1" t="s">
        <v>1210</v>
      </c>
      <c r="AF140" s="1" t="s">
        <v>1211</v>
      </c>
      <c r="AG140" s="1"/>
    </row>
    <row r="141" spans="1:35" s="45" customFormat="1" x14ac:dyDescent="0.25">
      <c r="A141" s="1" t="s">
        <v>50</v>
      </c>
      <c r="B141" s="1" t="s">
        <v>1320</v>
      </c>
      <c r="C141" s="48" t="s">
        <v>1321</v>
      </c>
      <c r="D141" s="1" t="s">
        <v>1322</v>
      </c>
      <c r="E141" s="24">
        <v>45856</v>
      </c>
      <c r="F141" s="2" t="s">
        <v>103</v>
      </c>
      <c r="G141" s="1" t="s">
        <v>302</v>
      </c>
      <c r="H141" s="1" t="s">
        <v>36</v>
      </c>
      <c r="I141" s="1" t="s">
        <v>37</v>
      </c>
      <c r="J141" s="1" t="s">
        <v>38</v>
      </c>
      <c r="K141" s="1" t="s">
        <v>55</v>
      </c>
      <c r="L141" s="1" t="s">
        <v>1323</v>
      </c>
      <c r="M141" s="1" t="s">
        <v>433</v>
      </c>
      <c r="N141" s="1" t="s">
        <v>42</v>
      </c>
      <c r="O141" s="1" t="s">
        <v>43</v>
      </c>
      <c r="P141" s="1" t="s">
        <v>1324</v>
      </c>
      <c r="Q141" s="1" t="s">
        <v>42</v>
      </c>
      <c r="R141" s="1" t="s">
        <v>1325</v>
      </c>
      <c r="S141" s="1" t="s">
        <v>98</v>
      </c>
      <c r="T141" s="1" t="s">
        <v>60</v>
      </c>
      <c r="U141" s="1" t="s">
        <v>145</v>
      </c>
      <c r="V141" s="1" t="s">
        <v>1326</v>
      </c>
      <c r="W141" s="1" t="s">
        <v>35</v>
      </c>
      <c r="X141" s="1" t="s">
        <v>35</v>
      </c>
      <c r="Y141" s="1" t="s">
        <v>49</v>
      </c>
      <c r="Z141" s="1" t="s">
        <v>35</v>
      </c>
      <c r="AA141" s="1" t="s">
        <v>1327</v>
      </c>
      <c r="AB141" s="1" t="s">
        <v>1309</v>
      </c>
      <c r="AC141" s="1" t="s">
        <v>127</v>
      </c>
      <c r="AD141" s="1" t="s">
        <v>1193</v>
      </c>
      <c r="AE141" s="1" t="s">
        <v>1328</v>
      </c>
      <c r="AF141" s="1" t="s">
        <v>1329</v>
      </c>
      <c r="AG141" s="1"/>
      <c r="AH141" s="1"/>
      <c r="AI141" s="1"/>
    </row>
    <row r="142" spans="1:35" s="46" customFormat="1" x14ac:dyDescent="0.25">
      <c r="A142" s="1" t="s">
        <v>65</v>
      </c>
      <c r="B142" s="1" t="s">
        <v>1312</v>
      </c>
      <c r="C142" s="48" t="s">
        <v>1313</v>
      </c>
      <c r="D142" s="1" t="s">
        <v>1314</v>
      </c>
      <c r="E142" s="24">
        <v>45858</v>
      </c>
      <c r="F142" s="47" t="s">
        <v>102</v>
      </c>
      <c r="G142" s="1" t="s">
        <v>54</v>
      </c>
      <c r="H142" s="1" t="s">
        <v>36</v>
      </c>
      <c r="I142" s="1" t="s">
        <v>37</v>
      </c>
      <c r="J142" s="1" t="s">
        <v>38</v>
      </c>
      <c r="K142" s="1" t="s">
        <v>55</v>
      </c>
      <c r="L142" s="1" t="s">
        <v>40</v>
      </c>
      <c r="M142" s="1" t="s">
        <v>56</v>
      </c>
      <c r="N142" s="1" t="s">
        <v>42</v>
      </c>
      <c r="O142" s="1" t="s">
        <v>43</v>
      </c>
      <c r="P142" s="1" t="s">
        <v>1144</v>
      </c>
      <c r="Q142" s="1" t="s">
        <v>42</v>
      </c>
      <c r="R142" s="1" t="s">
        <v>1315</v>
      </c>
      <c r="S142" s="1" t="s">
        <v>89</v>
      </c>
      <c r="T142" s="1" t="s">
        <v>60</v>
      </c>
      <c r="U142" s="1" t="s">
        <v>1316</v>
      </c>
      <c r="V142" s="1" t="s">
        <v>1317</v>
      </c>
      <c r="W142" s="1" t="s">
        <v>35</v>
      </c>
      <c r="X142" s="1" t="s">
        <v>35</v>
      </c>
      <c r="Y142" s="1" t="s">
        <v>104</v>
      </c>
      <c r="Z142" s="1" t="s">
        <v>35</v>
      </c>
      <c r="AA142" s="1" t="s">
        <v>35</v>
      </c>
      <c r="AB142" s="1" t="s">
        <v>35</v>
      </c>
      <c r="AC142" s="1" t="s">
        <v>35</v>
      </c>
      <c r="AD142" s="1" t="s">
        <v>35</v>
      </c>
      <c r="AE142" s="1" t="s">
        <v>1318</v>
      </c>
      <c r="AF142" s="1" t="s">
        <v>1319</v>
      </c>
      <c r="AG142" s="1"/>
    </row>
    <row r="143" spans="1:35" s="45" customFormat="1" x14ac:dyDescent="0.25">
      <c r="A143" s="1" t="s">
        <v>50</v>
      </c>
      <c r="B143" s="1" t="s">
        <v>1302</v>
      </c>
      <c r="C143" s="48" t="s">
        <v>1303</v>
      </c>
      <c r="D143" s="1" t="s">
        <v>1304</v>
      </c>
      <c r="E143" s="24">
        <v>45858</v>
      </c>
      <c r="F143" s="2" t="s">
        <v>39</v>
      </c>
      <c r="G143" s="1" t="s">
        <v>302</v>
      </c>
      <c r="H143" s="1" t="s">
        <v>36</v>
      </c>
      <c r="I143" s="1" t="s">
        <v>37</v>
      </c>
      <c r="J143" s="1" t="s">
        <v>38</v>
      </c>
      <c r="K143" s="1" t="s">
        <v>39</v>
      </c>
      <c r="L143" s="1" t="s">
        <v>69</v>
      </c>
      <c r="M143" s="1" t="s">
        <v>70</v>
      </c>
      <c r="N143" s="1" t="s">
        <v>42</v>
      </c>
      <c r="O143" s="1" t="s">
        <v>43</v>
      </c>
      <c r="P143" s="1" t="s">
        <v>433</v>
      </c>
      <c r="Q143" s="1" t="s">
        <v>42</v>
      </c>
      <c r="R143" s="1" t="s">
        <v>1305</v>
      </c>
      <c r="S143" s="1" t="s">
        <v>451</v>
      </c>
      <c r="T143" s="1" t="s">
        <v>46</v>
      </c>
      <c r="U143" s="1" t="s">
        <v>757</v>
      </c>
      <c r="V143" s="1" t="s">
        <v>1306</v>
      </c>
      <c r="W143" s="1" t="s">
        <v>35</v>
      </c>
      <c r="X143" s="1" t="s">
        <v>35</v>
      </c>
      <c r="Y143" s="1" t="s">
        <v>49</v>
      </c>
      <c r="Z143" s="1" t="s">
        <v>35</v>
      </c>
      <c r="AA143" s="1" t="s">
        <v>1307</v>
      </c>
      <c r="AB143" s="1" t="s">
        <v>1308</v>
      </c>
      <c r="AC143" s="1" t="s">
        <v>127</v>
      </c>
      <c r="AD143" s="1" t="s">
        <v>1309</v>
      </c>
      <c r="AE143" s="1" t="s">
        <v>1310</v>
      </c>
      <c r="AF143" s="1" t="s">
        <v>1311</v>
      </c>
      <c r="AG143" s="1"/>
    </row>
    <row r="144" spans="1:35" s="46" customFormat="1" x14ac:dyDescent="0.25">
      <c r="A144" s="1" t="s">
        <v>50</v>
      </c>
      <c r="B144" s="1" t="s">
        <v>1294</v>
      </c>
      <c r="C144" s="48" t="s">
        <v>1295</v>
      </c>
      <c r="D144" s="1" t="s">
        <v>1296</v>
      </c>
      <c r="E144" s="24">
        <v>45858</v>
      </c>
      <c r="F144" s="47" t="s">
        <v>102</v>
      </c>
      <c r="G144" s="1" t="s">
        <v>302</v>
      </c>
      <c r="H144" s="1" t="s">
        <v>36</v>
      </c>
      <c r="I144" s="1" t="s">
        <v>37</v>
      </c>
      <c r="J144" s="1" t="s">
        <v>38</v>
      </c>
      <c r="K144" s="1" t="s">
        <v>55</v>
      </c>
      <c r="L144" s="1" t="s">
        <v>40</v>
      </c>
      <c r="M144" s="1" t="s">
        <v>1297</v>
      </c>
      <c r="N144" s="1" t="s">
        <v>42</v>
      </c>
      <c r="O144" s="1" t="s">
        <v>43</v>
      </c>
      <c r="P144" s="1" t="s">
        <v>1297</v>
      </c>
      <c r="Q144" s="1" t="s">
        <v>42</v>
      </c>
      <c r="R144" s="1" t="s">
        <v>1298</v>
      </c>
      <c r="S144" s="1" t="s">
        <v>259</v>
      </c>
      <c r="T144" s="1" t="s">
        <v>60</v>
      </c>
      <c r="U144" s="1" t="s">
        <v>410</v>
      </c>
      <c r="V144" s="1" t="s">
        <v>1299</v>
      </c>
      <c r="W144" s="1" t="s">
        <v>35</v>
      </c>
      <c r="X144" s="1" t="s">
        <v>35</v>
      </c>
      <c r="Y144" s="1" t="s">
        <v>104</v>
      </c>
      <c r="Z144" s="1" t="s">
        <v>35</v>
      </c>
      <c r="AA144" s="1" t="s">
        <v>35</v>
      </c>
      <c r="AB144" s="1" t="s">
        <v>35</v>
      </c>
      <c r="AC144" s="1" t="s">
        <v>35</v>
      </c>
      <c r="AD144" s="1" t="s">
        <v>35</v>
      </c>
      <c r="AE144" s="1" t="s">
        <v>1300</v>
      </c>
      <c r="AF144" s="1" t="s">
        <v>1301</v>
      </c>
      <c r="AG144" s="1"/>
    </row>
    <row r="145" spans="1:36" s="45" customFormat="1" x14ac:dyDescent="0.25">
      <c r="A145" s="1" t="s">
        <v>50</v>
      </c>
      <c r="B145" s="1" t="s">
        <v>1288</v>
      </c>
      <c r="C145" s="48" t="s">
        <v>1289</v>
      </c>
      <c r="D145" s="1" t="s">
        <v>1290</v>
      </c>
      <c r="E145" s="24">
        <v>45859</v>
      </c>
      <c r="F145" s="2" t="s">
        <v>39</v>
      </c>
      <c r="G145" s="1" t="s">
        <v>302</v>
      </c>
      <c r="H145" s="1" t="s">
        <v>36</v>
      </c>
      <c r="I145" s="1" t="s">
        <v>37</v>
      </c>
      <c r="J145" s="1" t="s">
        <v>38</v>
      </c>
      <c r="K145" s="1" t="s">
        <v>39</v>
      </c>
      <c r="L145" s="1" t="s">
        <v>40</v>
      </c>
      <c r="M145" s="1" t="s">
        <v>70</v>
      </c>
      <c r="N145" s="1" t="s">
        <v>42</v>
      </c>
      <c r="O145" s="1" t="s">
        <v>43</v>
      </c>
      <c r="P145" s="1" t="s">
        <v>433</v>
      </c>
      <c r="Q145" s="1" t="s">
        <v>42</v>
      </c>
      <c r="R145" s="1" t="s">
        <v>546</v>
      </c>
      <c r="S145" s="1" t="s">
        <v>547</v>
      </c>
      <c r="T145" s="1" t="s">
        <v>46</v>
      </c>
      <c r="U145" s="1" t="s">
        <v>668</v>
      </c>
      <c r="V145" s="1" t="s">
        <v>1291</v>
      </c>
      <c r="W145" s="1" t="s">
        <v>35</v>
      </c>
      <c r="X145" s="1" t="s">
        <v>35</v>
      </c>
      <c r="Y145" s="1" t="s">
        <v>104</v>
      </c>
      <c r="Z145" s="1" t="s">
        <v>35</v>
      </c>
      <c r="AA145" s="1" t="s">
        <v>35</v>
      </c>
      <c r="AB145" s="1" t="s">
        <v>35</v>
      </c>
      <c r="AC145" s="1" t="s">
        <v>35</v>
      </c>
      <c r="AD145" s="1" t="s">
        <v>35</v>
      </c>
      <c r="AE145" s="1" t="s">
        <v>1292</v>
      </c>
      <c r="AF145" s="1" t="s">
        <v>1293</v>
      </c>
      <c r="AG145" s="1"/>
      <c r="AH145" s="1"/>
      <c r="AI145" s="1"/>
    </row>
    <row r="146" spans="1:36" s="46" customFormat="1" x14ac:dyDescent="0.25">
      <c r="A146" s="1" t="s">
        <v>65</v>
      </c>
      <c r="B146" s="1" t="s">
        <v>1281</v>
      </c>
      <c r="C146" s="48" t="s">
        <v>1282</v>
      </c>
      <c r="D146" s="1" t="s">
        <v>1283</v>
      </c>
      <c r="E146" s="24">
        <v>45860</v>
      </c>
      <c r="F146" s="47" t="s">
        <v>103</v>
      </c>
      <c r="G146" s="1" t="s">
        <v>54</v>
      </c>
      <c r="H146" s="1" t="s">
        <v>36</v>
      </c>
      <c r="I146" s="1" t="s">
        <v>37</v>
      </c>
      <c r="J146" s="1" t="s">
        <v>38</v>
      </c>
      <c r="K146" s="1" t="s">
        <v>55</v>
      </c>
      <c r="L146" s="1" t="s">
        <v>40</v>
      </c>
      <c r="M146" s="1" t="s">
        <v>56</v>
      </c>
      <c r="N146" s="1" t="s">
        <v>42</v>
      </c>
      <c r="O146" s="1" t="s">
        <v>43</v>
      </c>
      <c r="P146" s="1" t="s">
        <v>230</v>
      </c>
      <c r="Q146" s="1" t="s">
        <v>42</v>
      </c>
      <c r="R146" s="1" t="s">
        <v>1284</v>
      </c>
      <c r="S146" s="1" t="s">
        <v>135</v>
      </c>
      <c r="T146" s="1" t="s">
        <v>60</v>
      </c>
      <c r="U146" s="1" t="s">
        <v>145</v>
      </c>
      <c r="V146" s="1" t="s">
        <v>1285</v>
      </c>
      <c r="W146" s="1" t="s">
        <v>35</v>
      </c>
      <c r="X146" s="1" t="s">
        <v>35</v>
      </c>
      <c r="Y146" s="1" t="s">
        <v>104</v>
      </c>
      <c r="Z146" s="1" t="s">
        <v>35</v>
      </c>
      <c r="AA146" s="1" t="s">
        <v>35</v>
      </c>
      <c r="AB146" s="1" t="s">
        <v>35</v>
      </c>
      <c r="AC146" s="1" t="s">
        <v>35</v>
      </c>
      <c r="AD146" s="1" t="s">
        <v>35</v>
      </c>
      <c r="AE146" s="1" t="s">
        <v>1286</v>
      </c>
      <c r="AF146" s="1" t="s">
        <v>1287</v>
      </c>
      <c r="AG146" s="1"/>
    </row>
    <row r="147" spans="1:36" s="45" customFormat="1" x14ac:dyDescent="0.25">
      <c r="A147" s="1" t="s">
        <v>65</v>
      </c>
      <c r="B147" s="1" t="s">
        <v>1274</v>
      </c>
      <c r="C147" s="48" t="s">
        <v>1275</v>
      </c>
      <c r="D147" s="1" t="s">
        <v>1276</v>
      </c>
      <c r="E147" s="24">
        <v>45860</v>
      </c>
      <c r="F147" s="2" t="s">
        <v>103</v>
      </c>
      <c r="G147" s="1" t="s">
        <v>54</v>
      </c>
      <c r="H147" s="1" t="s">
        <v>36</v>
      </c>
      <c r="I147" s="1" t="s">
        <v>37</v>
      </c>
      <c r="J147" s="1" t="s">
        <v>38</v>
      </c>
      <c r="K147" s="1" t="s">
        <v>55</v>
      </c>
      <c r="L147" s="1" t="s">
        <v>40</v>
      </c>
      <c r="M147" s="1" t="s">
        <v>56</v>
      </c>
      <c r="N147" s="1" t="s">
        <v>42</v>
      </c>
      <c r="O147" s="1" t="s">
        <v>43</v>
      </c>
      <c r="P147" s="1" t="s">
        <v>158</v>
      </c>
      <c r="Q147" s="1" t="s">
        <v>42</v>
      </c>
      <c r="R147" s="1" t="s">
        <v>1277</v>
      </c>
      <c r="S147" s="1" t="s">
        <v>45</v>
      </c>
      <c r="T147" s="1" t="s">
        <v>46</v>
      </c>
      <c r="U147" s="1" t="s">
        <v>81</v>
      </c>
      <c r="V147" s="1" t="s">
        <v>1278</v>
      </c>
      <c r="W147" s="1" t="s">
        <v>35</v>
      </c>
      <c r="X147" s="1" t="s">
        <v>35</v>
      </c>
      <c r="Y147" s="1" t="s">
        <v>104</v>
      </c>
      <c r="Z147" s="1" t="s">
        <v>35</v>
      </c>
      <c r="AA147" s="1" t="s">
        <v>35</v>
      </c>
      <c r="AB147" s="1" t="s">
        <v>35</v>
      </c>
      <c r="AC147" s="1" t="s">
        <v>35</v>
      </c>
      <c r="AD147" s="1" t="s">
        <v>35</v>
      </c>
      <c r="AE147" s="1" t="s">
        <v>1279</v>
      </c>
      <c r="AF147" s="1" t="s">
        <v>1280</v>
      </c>
      <c r="AG147" s="1"/>
    </row>
    <row r="148" spans="1:36" s="46" customFormat="1" x14ac:dyDescent="0.25">
      <c r="A148" s="1" t="s">
        <v>105</v>
      </c>
      <c r="B148" s="1" t="s">
        <v>1265</v>
      </c>
      <c r="C148" s="48" t="s">
        <v>1266</v>
      </c>
      <c r="D148" s="1" t="s">
        <v>1267</v>
      </c>
      <c r="E148" s="24">
        <v>45860</v>
      </c>
      <c r="F148" s="47" t="s">
        <v>103</v>
      </c>
      <c r="G148" s="1" t="s">
        <v>194</v>
      </c>
      <c r="H148" s="1" t="s">
        <v>36</v>
      </c>
      <c r="I148" s="1" t="s">
        <v>37</v>
      </c>
      <c r="J148" s="1" t="s">
        <v>38</v>
      </c>
      <c r="K148" s="1" t="s">
        <v>55</v>
      </c>
      <c r="L148" s="1" t="s">
        <v>40</v>
      </c>
      <c r="M148" s="1" t="s">
        <v>177</v>
      </c>
      <c r="N148" s="1" t="s">
        <v>42</v>
      </c>
      <c r="O148" s="1" t="s">
        <v>43</v>
      </c>
      <c r="P148" s="1" t="s">
        <v>1268</v>
      </c>
      <c r="Q148" s="1" t="s">
        <v>42</v>
      </c>
      <c r="R148" s="1" t="s">
        <v>1269</v>
      </c>
      <c r="S148" s="1" t="s">
        <v>1270</v>
      </c>
      <c r="T148" s="1" t="s">
        <v>46</v>
      </c>
      <c r="U148" s="1" t="s">
        <v>112</v>
      </c>
      <c r="V148" s="1" t="s">
        <v>1271</v>
      </c>
      <c r="W148" s="1" t="s">
        <v>35</v>
      </c>
      <c r="X148" s="1" t="s">
        <v>35</v>
      </c>
      <c r="Y148" s="1" t="s">
        <v>104</v>
      </c>
      <c r="Z148" s="1" t="s">
        <v>35</v>
      </c>
      <c r="AA148" s="1" t="s">
        <v>35</v>
      </c>
      <c r="AB148" s="1" t="s">
        <v>35</v>
      </c>
      <c r="AC148" s="1" t="s">
        <v>35</v>
      </c>
      <c r="AD148" s="1" t="s">
        <v>35</v>
      </c>
      <c r="AE148" s="1" t="s">
        <v>1272</v>
      </c>
      <c r="AF148" s="1" t="s">
        <v>1273</v>
      </c>
      <c r="AG148" s="1"/>
    </row>
    <row r="149" spans="1:36" s="45" customFormat="1" x14ac:dyDescent="0.25">
      <c r="A149" s="1" t="s">
        <v>50</v>
      </c>
      <c r="B149" s="1" t="s">
        <v>1257</v>
      </c>
      <c r="C149" s="48" t="s">
        <v>1258</v>
      </c>
      <c r="D149" s="1" t="s">
        <v>1259</v>
      </c>
      <c r="E149" s="24">
        <v>45860</v>
      </c>
      <c r="F149" s="2" t="s">
        <v>103</v>
      </c>
      <c r="G149" s="1" t="s">
        <v>302</v>
      </c>
      <c r="H149" s="1" t="s">
        <v>36</v>
      </c>
      <c r="I149" s="1" t="s">
        <v>37</v>
      </c>
      <c r="J149" s="1" t="s">
        <v>38</v>
      </c>
      <c r="K149" s="1" t="s">
        <v>55</v>
      </c>
      <c r="L149" s="1" t="s">
        <v>40</v>
      </c>
      <c r="M149" s="1" t="s">
        <v>177</v>
      </c>
      <c r="N149" s="1" t="s">
        <v>42</v>
      </c>
      <c r="O149" s="1" t="s">
        <v>43</v>
      </c>
      <c r="P149" s="1" t="s">
        <v>120</v>
      </c>
      <c r="Q149" s="1" t="s">
        <v>42</v>
      </c>
      <c r="R149" s="1" t="s">
        <v>1260</v>
      </c>
      <c r="S149" s="1" t="s">
        <v>1261</v>
      </c>
      <c r="T149" s="1" t="s">
        <v>60</v>
      </c>
      <c r="U149" s="1" t="s">
        <v>145</v>
      </c>
      <c r="V149" s="1" t="s">
        <v>1262</v>
      </c>
      <c r="W149" s="1" t="s">
        <v>35</v>
      </c>
      <c r="X149" s="1" t="s">
        <v>35</v>
      </c>
      <c r="Y149" s="1" t="s">
        <v>104</v>
      </c>
      <c r="Z149" s="1" t="s">
        <v>35</v>
      </c>
      <c r="AA149" s="1" t="s">
        <v>35</v>
      </c>
      <c r="AB149" s="1" t="s">
        <v>35</v>
      </c>
      <c r="AC149" s="1" t="s">
        <v>35</v>
      </c>
      <c r="AD149" s="1" t="s">
        <v>35</v>
      </c>
      <c r="AE149" s="1" t="s">
        <v>1263</v>
      </c>
      <c r="AF149" s="1" t="s">
        <v>1264</v>
      </c>
      <c r="AG149" s="1"/>
    </row>
    <row r="150" spans="1:36" s="46" customFormat="1" x14ac:dyDescent="0.25">
      <c r="A150" s="1" t="s">
        <v>50</v>
      </c>
      <c r="B150" s="1" t="s">
        <v>1248</v>
      </c>
      <c r="C150" s="48" t="s">
        <v>1249</v>
      </c>
      <c r="D150" s="1" t="s">
        <v>1250</v>
      </c>
      <c r="E150" s="24">
        <v>45862</v>
      </c>
      <c r="F150" s="47" t="s">
        <v>102</v>
      </c>
      <c r="G150" s="1" t="s">
        <v>54</v>
      </c>
      <c r="H150" s="1" t="s">
        <v>36</v>
      </c>
      <c r="I150" s="1" t="s">
        <v>37</v>
      </c>
      <c r="J150" s="1" t="s">
        <v>38</v>
      </c>
      <c r="K150" s="1" t="s">
        <v>55</v>
      </c>
      <c r="L150" s="1" t="s">
        <v>176</v>
      </c>
      <c r="M150" s="1" t="s">
        <v>1251</v>
      </c>
      <c r="N150" s="1" t="s">
        <v>42</v>
      </c>
      <c r="O150" s="1" t="s">
        <v>43</v>
      </c>
      <c r="P150" s="1" t="s">
        <v>407</v>
      </c>
      <c r="Q150" s="1" t="s">
        <v>42</v>
      </c>
      <c r="R150" s="1" t="s">
        <v>1252</v>
      </c>
      <c r="S150" s="1" t="s">
        <v>1253</v>
      </c>
      <c r="T150" s="1" t="s">
        <v>46</v>
      </c>
      <c r="U150" s="1" t="s">
        <v>757</v>
      </c>
      <c r="V150" s="1" t="s">
        <v>1254</v>
      </c>
      <c r="W150" s="1" t="s">
        <v>35</v>
      </c>
      <c r="X150" s="1" t="s">
        <v>35</v>
      </c>
      <c r="Y150" s="1" t="s">
        <v>49</v>
      </c>
      <c r="Z150" s="1" t="s">
        <v>35</v>
      </c>
      <c r="AA150" s="1" t="s">
        <v>35</v>
      </c>
      <c r="AB150" s="1" t="s">
        <v>35</v>
      </c>
      <c r="AC150" s="1" t="s">
        <v>35</v>
      </c>
      <c r="AD150" s="1" t="s">
        <v>35</v>
      </c>
      <c r="AE150" s="1" t="s">
        <v>1255</v>
      </c>
      <c r="AF150" s="1" t="s">
        <v>1256</v>
      </c>
      <c r="AG150" s="1"/>
      <c r="AH150" s="1"/>
      <c r="AI150" s="1"/>
      <c r="AJ150" s="1"/>
    </row>
    <row r="151" spans="1:36" s="45" customFormat="1" x14ac:dyDescent="0.25">
      <c r="A151" s="1" t="s">
        <v>50</v>
      </c>
      <c r="B151" s="1" t="s">
        <v>1240</v>
      </c>
      <c r="C151" s="48" t="s">
        <v>1241</v>
      </c>
      <c r="D151" s="1" t="s">
        <v>1242</v>
      </c>
      <c r="E151" s="24">
        <v>45863</v>
      </c>
      <c r="F151" s="2" t="s">
        <v>102</v>
      </c>
      <c r="G151" s="1" t="s">
        <v>302</v>
      </c>
      <c r="H151" s="1" t="s">
        <v>36</v>
      </c>
      <c r="I151" s="1" t="s">
        <v>37</v>
      </c>
      <c r="J151" s="1" t="s">
        <v>38</v>
      </c>
      <c r="K151" s="1" t="s">
        <v>55</v>
      </c>
      <c r="L151" s="1" t="s">
        <v>40</v>
      </c>
      <c r="M151" s="1" t="s">
        <v>70</v>
      </c>
      <c r="N151" s="1" t="s">
        <v>42</v>
      </c>
      <c r="O151" s="1" t="s">
        <v>43</v>
      </c>
      <c r="P151" s="1" t="s">
        <v>433</v>
      </c>
      <c r="Q151" s="1" t="s">
        <v>42</v>
      </c>
      <c r="R151" s="1" t="s">
        <v>1243</v>
      </c>
      <c r="S151" s="1" t="s">
        <v>80</v>
      </c>
      <c r="T151" s="1" t="s">
        <v>46</v>
      </c>
      <c r="U151" s="1" t="s">
        <v>1244</v>
      </c>
      <c r="V151" s="1" t="s">
        <v>1245</v>
      </c>
      <c r="W151" s="1" t="s">
        <v>35</v>
      </c>
      <c r="X151" s="1" t="s">
        <v>35</v>
      </c>
      <c r="Y151" s="1" t="s">
        <v>104</v>
      </c>
      <c r="Z151" s="1" t="s">
        <v>35</v>
      </c>
      <c r="AA151" s="1" t="s">
        <v>35</v>
      </c>
      <c r="AB151" s="1" t="s">
        <v>35</v>
      </c>
      <c r="AC151" s="1" t="s">
        <v>35</v>
      </c>
      <c r="AD151" s="1" t="s">
        <v>35</v>
      </c>
      <c r="AE151" s="1" t="s">
        <v>1246</v>
      </c>
      <c r="AF151" s="1" t="s">
        <v>1247</v>
      </c>
      <c r="AG151" s="1"/>
      <c r="AH151" s="1"/>
    </row>
    <row r="152" spans="1:36" s="46" customFormat="1" x14ac:dyDescent="0.25">
      <c r="A152" s="1" t="s">
        <v>105</v>
      </c>
      <c r="B152" s="1" t="s">
        <v>1233</v>
      </c>
      <c r="C152" s="48" t="s">
        <v>1234</v>
      </c>
      <c r="D152" s="1" t="s">
        <v>1235</v>
      </c>
      <c r="E152" s="24">
        <v>45865</v>
      </c>
      <c r="F152" s="47" t="s">
        <v>102</v>
      </c>
      <c r="G152" s="1" t="s">
        <v>54</v>
      </c>
      <c r="H152" s="1" t="s">
        <v>36</v>
      </c>
      <c r="I152" s="1" t="s">
        <v>37</v>
      </c>
      <c r="J152" s="1" t="s">
        <v>432</v>
      </c>
      <c r="K152" s="1" t="s">
        <v>55</v>
      </c>
      <c r="L152" s="1" t="s">
        <v>242</v>
      </c>
      <c r="M152" s="1" t="s">
        <v>658</v>
      </c>
      <c r="N152" s="1" t="s">
        <v>42</v>
      </c>
      <c r="O152" s="1" t="s">
        <v>43</v>
      </c>
      <c r="P152" s="1" t="s">
        <v>658</v>
      </c>
      <c r="Q152" s="1" t="s">
        <v>42</v>
      </c>
      <c r="R152" s="1" t="s">
        <v>1236</v>
      </c>
      <c r="S152" s="1" t="s">
        <v>267</v>
      </c>
      <c r="T152" s="1" t="s">
        <v>60</v>
      </c>
      <c r="U152" s="1" t="s">
        <v>112</v>
      </c>
      <c r="V152" s="1" t="s">
        <v>1237</v>
      </c>
      <c r="W152" s="1" t="s">
        <v>35</v>
      </c>
      <c r="X152" s="1" t="s">
        <v>35</v>
      </c>
      <c r="Y152" s="1" t="s">
        <v>49</v>
      </c>
      <c r="Z152" s="1" t="s">
        <v>35</v>
      </c>
      <c r="AA152" s="1" t="s">
        <v>35</v>
      </c>
      <c r="AB152" s="1" t="s">
        <v>35</v>
      </c>
      <c r="AC152" s="1" t="s">
        <v>35</v>
      </c>
      <c r="AD152" s="1" t="s">
        <v>35</v>
      </c>
      <c r="AE152" s="1" t="s">
        <v>1238</v>
      </c>
      <c r="AF152" s="1" t="s">
        <v>1239</v>
      </c>
      <c r="AG152" s="1"/>
    </row>
    <row r="153" spans="1:36" s="45" customFormat="1" x14ac:dyDescent="0.25">
      <c r="A153" s="1" t="s">
        <v>50</v>
      </c>
      <c r="B153" s="1" t="s">
        <v>1226</v>
      </c>
      <c r="C153" s="48" t="s">
        <v>1227</v>
      </c>
      <c r="D153" s="1" t="s">
        <v>1228</v>
      </c>
      <c r="E153" s="24">
        <v>45865</v>
      </c>
      <c r="F153" s="2" t="s">
        <v>103</v>
      </c>
      <c r="G153" s="1" t="s">
        <v>194</v>
      </c>
      <c r="H153" s="1" t="s">
        <v>36</v>
      </c>
      <c r="I153" s="1" t="s">
        <v>37</v>
      </c>
      <c r="J153" s="1" t="s">
        <v>38</v>
      </c>
      <c r="K153" s="1" t="s">
        <v>55</v>
      </c>
      <c r="L153" s="1" t="s">
        <v>40</v>
      </c>
      <c r="M153" s="1" t="s">
        <v>177</v>
      </c>
      <c r="N153" s="1" t="s">
        <v>42</v>
      </c>
      <c r="O153" s="1" t="s">
        <v>43</v>
      </c>
      <c r="P153" s="1" t="s">
        <v>120</v>
      </c>
      <c r="Q153" s="1" t="s">
        <v>42</v>
      </c>
      <c r="R153" s="1" t="s">
        <v>1229</v>
      </c>
      <c r="S153" s="1" t="s">
        <v>555</v>
      </c>
      <c r="T153" s="1" t="s">
        <v>60</v>
      </c>
      <c r="U153" s="1" t="s">
        <v>668</v>
      </c>
      <c r="V153" s="1" t="s">
        <v>1230</v>
      </c>
      <c r="W153" s="1" t="s">
        <v>35</v>
      </c>
      <c r="X153" s="1" t="s">
        <v>35</v>
      </c>
      <c r="Y153" s="1" t="s">
        <v>49</v>
      </c>
      <c r="Z153" s="1" t="s">
        <v>35</v>
      </c>
      <c r="AA153" s="1" t="s">
        <v>35</v>
      </c>
      <c r="AB153" s="1" t="s">
        <v>35</v>
      </c>
      <c r="AC153" s="1" t="s">
        <v>35</v>
      </c>
      <c r="AD153" s="1" t="s">
        <v>35</v>
      </c>
      <c r="AE153" s="1" t="s">
        <v>1231</v>
      </c>
      <c r="AF153" s="1" t="s">
        <v>1232</v>
      </c>
      <c r="AG153" s="1"/>
    </row>
    <row r="154" spans="1:36" s="46" customFormat="1" x14ac:dyDescent="0.25">
      <c r="A154" s="1" t="s">
        <v>65</v>
      </c>
      <c r="B154" s="1" t="s">
        <v>1219</v>
      </c>
      <c r="C154" s="48" t="s">
        <v>1220</v>
      </c>
      <c r="D154" s="1" t="s">
        <v>1221</v>
      </c>
      <c r="E154" s="24">
        <v>45866</v>
      </c>
      <c r="F154" s="47" t="s">
        <v>103</v>
      </c>
      <c r="G154" s="1" t="s">
        <v>54</v>
      </c>
      <c r="H154" s="1" t="s">
        <v>36</v>
      </c>
      <c r="I154" s="1" t="s">
        <v>37</v>
      </c>
      <c r="J154" s="1" t="s">
        <v>38</v>
      </c>
      <c r="K154" s="1" t="s">
        <v>55</v>
      </c>
      <c r="L154" s="1" t="s">
        <v>69</v>
      </c>
      <c r="M154" s="1" t="s">
        <v>56</v>
      </c>
      <c r="N154" s="1" t="s">
        <v>42</v>
      </c>
      <c r="O154" s="1" t="s">
        <v>43</v>
      </c>
      <c r="P154" s="1" t="s">
        <v>852</v>
      </c>
      <c r="Q154" s="1" t="s">
        <v>42</v>
      </c>
      <c r="R154" s="1" t="s">
        <v>1222</v>
      </c>
      <c r="S154" s="1" t="s">
        <v>322</v>
      </c>
      <c r="T154" s="1" t="s">
        <v>60</v>
      </c>
      <c r="U154" s="1" t="s">
        <v>145</v>
      </c>
      <c r="V154" s="1" t="s">
        <v>1223</v>
      </c>
      <c r="W154" s="1" t="s">
        <v>35</v>
      </c>
      <c r="X154" s="1" t="s">
        <v>35</v>
      </c>
      <c r="Y154" s="1" t="s">
        <v>49</v>
      </c>
      <c r="Z154" s="1" t="s">
        <v>35</v>
      </c>
      <c r="AA154" s="1" t="s">
        <v>35</v>
      </c>
      <c r="AB154" s="1" t="s">
        <v>35</v>
      </c>
      <c r="AC154" s="1" t="s">
        <v>35</v>
      </c>
      <c r="AD154" s="1" t="s">
        <v>35</v>
      </c>
      <c r="AE154" s="1" t="s">
        <v>1224</v>
      </c>
      <c r="AF154" s="1" t="s">
        <v>1225</v>
      </c>
      <c r="AG154" s="1"/>
    </row>
    <row r="155" spans="1:36" s="45" customFormat="1" x14ac:dyDescent="0.25">
      <c r="A155" s="1" t="s">
        <v>50</v>
      </c>
      <c r="B155" s="1" t="s">
        <v>1212</v>
      </c>
      <c r="C155" s="1" t="s">
        <v>1213</v>
      </c>
      <c r="D155" s="1" t="s">
        <v>1214</v>
      </c>
      <c r="E155" s="24">
        <v>45866</v>
      </c>
      <c r="F155" s="2" t="s">
        <v>103</v>
      </c>
      <c r="G155" s="1" t="s">
        <v>54</v>
      </c>
      <c r="H155" s="1" t="s">
        <v>36</v>
      </c>
      <c r="I155" s="1" t="s">
        <v>37</v>
      </c>
      <c r="J155" s="1" t="s">
        <v>38</v>
      </c>
      <c r="K155" s="1" t="s">
        <v>55</v>
      </c>
      <c r="L155" s="1" t="s">
        <v>69</v>
      </c>
      <c r="M155" s="1" t="s">
        <v>56</v>
      </c>
      <c r="N155" s="1" t="s">
        <v>42</v>
      </c>
      <c r="O155" s="1" t="s">
        <v>43</v>
      </c>
      <c r="P155" s="1" t="s">
        <v>996</v>
      </c>
      <c r="Q155" s="1" t="s">
        <v>42</v>
      </c>
      <c r="R155" s="1" t="s">
        <v>1215</v>
      </c>
      <c r="S155" s="1" t="s">
        <v>80</v>
      </c>
      <c r="T155" s="1" t="s">
        <v>60</v>
      </c>
      <c r="U155" s="1" t="s">
        <v>81</v>
      </c>
      <c r="V155" s="1" t="s">
        <v>1216</v>
      </c>
      <c r="W155" s="1" t="s">
        <v>35</v>
      </c>
      <c r="X155" s="1" t="s">
        <v>35</v>
      </c>
      <c r="Y155" s="1" t="s">
        <v>49</v>
      </c>
      <c r="Z155" s="1" t="s">
        <v>35</v>
      </c>
      <c r="AA155" s="1" t="s">
        <v>35</v>
      </c>
      <c r="AB155" s="1" t="s">
        <v>35</v>
      </c>
      <c r="AC155" s="1" t="s">
        <v>35</v>
      </c>
      <c r="AD155" s="1" t="s">
        <v>35</v>
      </c>
      <c r="AE155" s="1" t="s">
        <v>1217</v>
      </c>
      <c r="AF155" s="1" t="s">
        <v>1218</v>
      </c>
    </row>
    <row r="156" spans="1:36" s="46" customFormat="1" x14ac:dyDescent="0.25">
      <c r="A156" s="49" t="s">
        <v>50</v>
      </c>
      <c r="B156" s="49" t="s">
        <v>1330</v>
      </c>
      <c r="C156" s="49" t="s">
        <v>1331</v>
      </c>
      <c r="D156" s="49" t="s">
        <v>1332</v>
      </c>
      <c r="E156" s="50">
        <v>45868</v>
      </c>
      <c r="F156" s="47" t="s">
        <v>103</v>
      </c>
      <c r="G156" s="49" t="s">
        <v>54</v>
      </c>
      <c r="H156" s="49" t="s">
        <v>36</v>
      </c>
      <c r="I156" s="49" t="s">
        <v>37</v>
      </c>
      <c r="J156" s="49" t="s">
        <v>38</v>
      </c>
      <c r="K156" s="49" t="s">
        <v>55</v>
      </c>
      <c r="L156" s="49" t="s">
        <v>69</v>
      </c>
      <c r="M156" s="49" t="s">
        <v>56</v>
      </c>
      <c r="N156" s="49" t="s">
        <v>42</v>
      </c>
      <c r="O156" s="49" t="s">
        <v>43</v>
      </c>
      <c r="P156" s="49" t="s">
        <v>230</v>
      </c>
      <c r="Q156" s="49" t="s">
        <v>42</v>
      </c>
      <c r="R156" s="49" t="s">
        <v>1333</v>
      </c>
      <c r="S156" s="49" t="s">
        <v>259</v>
      </c>
      <c r="T156" s="49" t="s">
        <v>60</v>
      </c>
      <c r="U156" s="49" t="s">
        <v>145</v>
      </c>
      <c r="V156" s="49" t="s">
        <v>1334</v>
      </c>
      <c r="W156" s="49" t="s">
        <v>35</v>
      </c>
      <c r="X156" s="49" t="s">
        <v>35</v>
      </c>
      <c r="Y156" s="49" t="s">
        <v>49</v>
      </c>
      <c r="Z156" s="49" t="s">
        <v>35</v>
      </c>
      <c r="AA156" s="49" t="s">
        <v>35</v>
      </c>
      <c r="AB156" s="49" t="s">
        <v>35</v>
      </c>
      <c r="AC156" s="49" t="s">
        <v>35</v>
      </c>
      <c r="AD156" s="49" t="s">
        <v>35</v>
      </c>
      <c r="AE156" s="49" t="s">
        <v>1335</v>
      </c>
      <c r="AF156" s="49" t="s">
        <v>1336</v>
      </c>
      <c r="AG156" s="49"/>
      <c r="AH156" s="49"/>
    </row>
    <row r="157" spans="1:36" s="45" customFormat="1" x14ac:dyDescent="0.25">
      <c r="A157" s="1" t="s">
        <v>65</v>
      </c>
      <c r="B157" s="1" t="s">
        <v>1337</v>
      </c>
      <c r="C157" s="1" t="s">
        <v>1338</v>
      </c>
      <c r="D157" s="1" t="s">
        <v>1339</v>
      </c>
      <c r="E157" s="24">
        <v>45872</v>
      </c>
      <c r="F157" s="2" t="s">
        <v>102</v>
      </c>
      <c r="G157" s="1" t="s">
        <v>35</v>
      </c>
      <c r="H157" s="1" t="s">
        <v>36</v>
      </c>
      <c r="I157" s="1" t="s">
        <v>37</v>
      </c>
      <c r="J157" s="1" t="s">
        <v>38</v>
      </c>
      <c r="K157" s="1" t="s">
        <v>55</v>
      </c>
      <c r="L157" s="1" t="s">
        <v>176</v>
      </c>
      <c r="M157" s="1" t="s">
        <v>56</v>
      </c>
      <c r="N157" s="1" t="s">
        <v>42</v>
      </c>
      <c r="O157" s="1" t="s">
        <v>43</v>
      </c>
      <c r="P157" s="1" t="s">
        <v>1144</v>
      </c>
      <c r="Q157" s="1" t="s">
        <v>42</v>
      </c>
      <c r="R157" s="1" t="s">
        <v>1340</v>
      </c>
      <c r="S157" s="1" t="s">
        <v>1341</v>
      </c>
      <c r="T157" s="1" t="s">
        <v>60</v>
      </c>
      <c r="U157" s="1" t="s">
        <v>757</v>
      </c>
      <c r="V157" s="1" t="s">
        <v>1342</v>
      </c>
      <c r="W157" s="1" t="s">
        <v>35</v>
      </c>
      <c r="X157" s="1" t="s">
        <v>35</v>
      </c>
      <c r="Y157" s="1" t="s">
        <v>49</v>
      </c>
      <c r="Z157" s="1" t="s">
        <v>35</v>
      </c>
      <c r="AA157" s="1" t="s">
        <v>35</v>
      </c>
      <c r="AB157" s="1" t="s">
        <v>35</v>
      </c>
      <c r="AC157" s="1" t="s">
        <v>35</v>
      </c>
      <c r="AD157" s="1" t="s">
        <v>35</v>
      </c>
      <c r="AE157" s="1" t="s">
        <v>1343</v>
      </c>
      <c r="AF157" s="1" t="s">
        <v>1344</v>
      </c>
    </row>
    <row r="158" spans="1:36" s="46" customFormat="1" x14ac:dyDescent="0.25">
      <c r="A158" s="1" t="s">
        <v>65</v>
      </c>
      <c r="B158" s="1" t="s">
        <v>1345</v>
      </c>
      <c r="C158" s="1" t="s">
        <v>1346</v>
      </c>
      <c r="D158" s="1" t="s">
        <v>1347</v>
      </c>
      <c r="E158" s="24">
        <v>45872</v>
      </c>
      <c r="F158" s="47" t="s">
        <v>103</v>
      </c>
      <c r="G158" s="1" t="s">
        <v>806</v>
      </c>
      <c r="H158" s="1" t="s">
        <v>36</v>
      </c>
      <c r="I158" s="1" t="s">
        <v>37</v>
      </c>
      <c r="J158" s="1" t="s">
        <v>38</v>
      </c>
      <c r="K158" s="1" t="s">
        <v>55</v>
      </c>
      <c r="L158" s="1" t="s">
        <v>242</v>
      </c>
      <c r="M158" s="1" t="s">
        <v>705</v>
      </c>
      <c r="N158" s="1" t="s">
        <v>42</v>
      </c>
      <c r="O158" s="1" t="s">
        <v>43</v>
      </c>
      <c r="P158" s="1" t="s">
        <v>705</v>
      </c>
      <c r="Q158" s="1" t="s">
        <v>42</v>
      </c>
      <c r="R158" s="1" t="s">
        <v>1348</v>
      </c>
      <c r="S158" s="1" t="s">
        <v>59</v>
      </c>
      <c r="T158" s="1" t="s">
        <v>60</v>
      </c>
      <c r="U158" s="1" t="s">
        <v>61</v>
      </c>
      <c r="V158" s="1" t="s">
        <v>1349</v>
      </c>
      <c r="W158" s="1" t="s">
        <v>35</v>
      </c>
      <c r="X158" s="1" t="s">
        <v>35</v>
      </c>
      <c r="Y158" s="1" t="s">
        <v>49</v>
      </c>
      <c r="Z158" s="1" t="s">
        <v>35</v>
      </c>
      <c r="AA158" s="1" t="s">
        <v>35</v>
      </c>
      <c r="AB158" s="1" t="s">
        <v>35</v>
      </c>
      <c r="AC158" s="1" t="s">
        <v>35</v>
      </c>
      <c r="AD158" s="1" t="s">
        <v>35</v>
      </c>
      <c r="AE158" s="1" t="s">
        <v>1350</v>
      </c>
      <c r="AF158" s="1" t="s">
        <v>1351</v>
      </c>
    </row>
    <row r="159" spans="1:36" s="45" customFormat="1" x14ac:dyDescent="0.25">
      <c r="A159" s="1" t="s">
        <v>50</v>
      </c>
      <c r="B159" s="1" t="s">
        <v>1352</v>
      </c>
      <c r="C159" s="1" t="s">
        <v>1353</v>
      </c>
      <c r="D159" s="1" t="s">
        <v>1354</v>
      </c>
      <c r="E159" s="24">
        <v>45873</v>
      </c>
      <c r="F159" s="2" t="s">
        <v>39</v>
      </c>
      <c r="G159" s="1" t="s">
        <v>35</v>
      </c>
      <c r="H159" s="1" t="s">
        <v>36</v>
      </c>
      <c r="I159" s="1" t="s">
        <v>37</v>
      </c>
      <c r="J159" s="1" t="s">
        <v>38</v>
      </c>
      <c r="K159" s="1" t="s">
        <v>39</v>
      </c>
      <c r="L159" s="1" t="s">
        <v>40</v>
      </c>
      <c r="M159" s="1" t="s">
        <v>177</v>
      </c>
      <c r="N159" s="1" t="s">
        <v>42</v>
      </c>
      <c r="O159" s="1" t="s">
        <v>43</v>
      </c>
      <c r="P159" s="1" t="s">
        <v>195</v>
      </c>
      <c r="Q159" s="1" t="s">
        <v>42</v>
      </c>
      <c r="R159" s="1" t="s">
        <v>1355</v>
      </c>
      <c r="S159" s="1" t="s">
        <v>978</v>
      </c>
      <c r="T159" s="1" t="s">
        <v>46</v>
      </c>
      <c r="U159" s="1" t="s">
        <v>61</v>
      </c>
      <c r="V159" s="1" t="s">
        <v>1356</v>
      </c>
      <c r="W159" s="1" t="s">
        <v>35</v>
      </c>
      <c r="X159" s="1" t="s">
        <v>35</v>
      </c>
      <c r="Y159" s="1" t="s">
        <v>104</v>
      </c>
      <c r="Z159" s="1" t="s">
        <v>35</v>
      </c>
      <c r="AA159" s="1" t="s">
        <v>35</v>
      </c>
      <c r="AB159" s="1" t="s">
        <v>35</v>
      </c>
      <c r="AC159" s="1" t="s">
        <v>35</v>
      </c>
      <c r="AD159" s="1" t="s">
        <v>35</v>
      </c>
      <c r="AE159" s="1" t="s">
        <v>1357</v>
      </c>
      <c r="AF159" s="1" t="s">
        <v>1358</v>
      </c>
    </row>
    <row r="160" spans="1:36" s="46" customFormat="1" x14ac:dyDescent="0.25">
      <c r="A160" s="1" t="s">
        <v>50</v>
      </c>
      <c r="B160" s="1" t="s">
        <v>1359</v>
      </c>
      <c r="C160" s="1" t="s">
        <v>1360</v>
      </c>
      <c r="D160" s="1" t="s">
        <v>1361</v>
      </c>
      <c r="E160" s="24">
        <v>45874</v>
      </c>
      <c r="F160" s="47" t="s">
        <v>103</v>
      </c>
      <c r="G160" s="1" t="s">
        <v>194</v>
      </c>
      <c r="H160" s="1" t="s">
        <v>36</v>
      </c>
      <c r="I160" s="1" t="s">
        <v>37</v>
      </c>
      <c r="J160" s="1" t="s">
        <v>38</v>
      </c>
      <c r="K160" s="1" t="s">
        <v>55</v>
      </c>
      <c r="L160" s="1" t="s">
        <v>40</v>
      </c>
      <c r="M160" s="1" t="s">
        <v>264</v>
      </c>
      <c r="N160" s="1" t="s">
        <v>42</v>
      </c>
      <c r="O160" s="1" t="s">
        <v>43</v>
      </c>
      <c r="P160" s="1" t="s">
        <v>961</v>
      </c>
      <c r="Q160" s="1" t="s">
        <v>42</v>
      </c>
      <c r="R160" s="1" t="s">
        <v>1298</v>
      </c>
      <c r="S160" s="1" t="s">
        <v>259</v>
      </c>
      <c r="T160" s="1" t="s">
        <v>60</v>
      </c>
      <c r="U160" s="1" t="s">
        <v>61</v>
      </c>
      <c r="V160" s="1" t="s">
        <v>1362</v>
      </c>
      <c r="W160" s="1" t="s">
        <v>35</v>
      </c>
      <c r="X160" s="1" t="s">
        <v>35</v>
      </c>
      <c r="Y160" s="1" t="s">
        <v>104</v>
      </c>
      <c r="Z160" s="1" t="s">
        <v>35</v>
      </c>
      <c r="AA160" s="1" t="s">
        <v>35</v>
      </c>
      <c r="AB160" s="1" t="s">
        <v>35</v>
      </c>
      <c r="AC160" s="1" t="s">
        <v>35</v>
      </c>
      <c r="AD160" s="1" t="s">
        <v>35</v>
      </c>
      <c r="AE160" s="1" t="s">
        <v>1363</v>
      </c>
      <c r="AF160" s="1" t="s">
        <v>1364</v>
      </c>
    </row>
    <row r="161" spans="1:32" s="45" customFormat="1" x14ac:dyDescent="0.25">
      <c r="A161" s="1" t="s">
        <v>50</v>
      </c>
      <c r="B161" s="1" t="s">
        <v>1365</v>
      </c>
      <c r="C161" s="1" t="s">
        <v>1366</v>
      </c>
      <c r="D161" s="1" t="s">
        <v>1367</v>
      </c>
      <c r="E161" s="24">
        <v>45877</v>
      </c>
      <c r="F161" s="2" t="s">
        <v>39</v>
      </c>
      <c r="G161" s="1" t="s">
        <v>302</v>
      </c>
      <c r="H161" s="1" t="s">
        <v>36</v>
      </c>
      <c r="I161" s="1" t="s">
        <v>37</v>
      </c>
      <c r="J161" s="1" t="s">
        <v>38</v>
      </c>
      <c r="K161" s="1" t="s">
        <v>39</v>
      </c>
      <c r="L161" s="1" t="s">
        <v>242</v>
      </c>
      <c r="M161" s="1" t="s">
        <v>835</v>
      </c>
      <c r="N161" s="1" t="s">
        <v>42</v>
      </c>
      <c r="O161" s="1" t="s">
        <v>43</v>
      </c>
      <c r="P161" s="1" t="s">
        <v>177</v>
      </c>
      <c r="Q161" s="1" t="s">
        <v>42</v>
      </c>
      <c r="R161" s="1" t="s">
        <v>1368</v>
      </c>
      <c r="S161" s="1" t="s">
        <v>409</v>
      </c>
      <c r="T161" s="1" t="s">
        <v>60</v>
      </c>
      <c r="U161" s="1" t="s">
        <v>757</v>
      </c>
      <c r="V161" s="1" t="s">
        <v>1369</v>
      </c>
      <c r="W161" s="1" t="s">
        <v>35</v>
      </c>
      <c r="X161" s="1" t="s">
        <v>35</v>
      </c>
      <c r="Y161" s="1" t="s">
        <v>49</v>
      </c>
      <c r="Z161" s="1" t="s">
        <v>35</v>
      </c>
      <c r="AA161" s="1" t="s">
        <v>35</v>
      </c>
      <c r="AB161" s="1" t="s">
        <v>35</v>
      </c>
      <c r="AC161" s="1" t="s">
        <v>35</v>
      </c>
      <c r="AD161" s="1" t="s">
        <v>35</v>
      </c>
      <c r="AE161" s="1" t="s">
        <v>1370</v>
      </c>
      <c r="AF161" s="1" t="s">
        <v>1371</v>
      </c>
    </row>
    <row r="162" spans="1:32" s="46" customFormat="1" x14ac:dyDescent="0.25">
      <c r="A162" s="1" t="s">
        <v>50</v>
      </c>
      <c r="B162" s="1" t="s">
        <v>1372</v>
      </c>
      <c r="C162" s="1" t="s">
        <v>1373</v>
      </c>
      <c r="D162" s="1" t="s">
        <v>1374</v>
      </c>
      <c r="E162" s="24">
        <v>45879</v>
      </c>
      <c r="F162" s="2" t="s">
        <v>39</v>
      </c>
      <c r="G162" s="1" t="s">
        <v>54</v>
      </c>
      <c r="H162" s="1" t="s">
        <v>36</v>
      </c>
      <c r="I162" s="1" t="s">
        <v>37</v>
      </c>
      <c r="J162" s="1" t="s">
        <v>38</v>
      </c>
      <c r="K162" s="1" t="s">
        <v>39</v>
      </c>
      <c r="L162" s="1" t="s">
        <v>40</v>
      </c>
      <c r="M162" s="1" t="s">
        <v>56</v>
      </c>
      <c r="N162" s="1" t="s">
        <v>42</v>
      </c>
      <c r="O162" s="1" t="s">
        <v>43</v>
      </c>
      <c r="P162" s="1" t="s">
        <v>56</v>
      </c>
      <c r="Q162" s="1" t="s">
        <v>42</v>
      </c>
      <c r="R162" s="1" t="s">
        <v>1298</v>
      </c>
      <c r="S162" s="1" t="s">
        <v>259</v>
      </c>
      <c r="T162" s="1" t="s">
        <v>46</v>
      </c>
      <c r="U162" s="1" t="s">
        <v>81</v>
      </c>
      <c r="V162" s="1" t="s">
        <v>1375</v>
      </c>
      <c r="W162" s="1" t="s">
        <v>35</v>
      </c>
      <c r="X162" s="1" t="s">
        <v>35</v>
      </c>
      <c r="Y162" s="1" t="s">
        <v>104</v>
      </c>
      <c r="Z162" s="1" t="s">
        <v>35</v>
      </c>
      <c r="AA162" s="1" t="s">
        <v>35</v>
      </c>
      <c r="AB162" s="1" t="s">
        <v>35</v>
      </c>
      <c r="AC162" s="1" t="s">
        <v>35</v>
      </c>
      <c r="AD162" s="1" t="s">
        <v>35</v>
      </c>
      <c r="AE162" s="1" t="s">
        <v>1376</v>
      </c>
      <c r="AF162" s="1" t="s">
        <v>1377</v>
      </c>
    </row>
    <row r="163" spans="1:32" s="45" customFormat="1" x14ac:dyDescent="0.25">
      <c r="A163" s="1" t="s">
        <v>65</v>
      </c>
      <c r="B163" s="1" t="s">
        <v>1378</v>
      </c>
      <c r="C163" s="1" t="s">
        <v>1379</v>
      </c>
      <c r="D163" s="1" t="s">
        <v>1380</v>
      </c>
      <c r="E163" s="24">
        <v>45879</v>
      </c>
      <c r="F163" s="2" t="s">
        <v>39</v>
      </c>
      <c r="G163" s="1" t="s">
        <v>806</v>
      </c>
      <c r="H163" s="1" t="s">
        <v>36</v>
      </c>
      <c r="I163" s="1" t="s">
        <v>37</v>
      </c>
      <c r="J163" s="1" t="s">
        <v>432</v>
      </c>
      <c r="K163" s="1" t="s">
        <v>39</v>
      </c>
      <c r="L163" s="1" t="s">
        <v>176</v>
      </c>
      <c r="M163" s="1" t="s">
        <v>109</v>
      </c>
      <c r="N163" s="1" t="s">
        <v>42</v>
      </c>
      <c r="O163" s="1" t="s">
        <v>43</v>
      </c>
      <c r="P163" s="1" t="s">
        <v>109</v>
      </c>
      <c r="Q163" s="1" t="s">
        <v>42</v>
      </c>
      <c r="R163" s="1" t="s">
        <v>538</v>
      </c>
      <c r="S163" s="1" t="s">
        <v>539</v>
      </c>
      <c r="T163" s="1" t="s">
        <v>60</v>
      </c>
      <c r="U163" s="1" t="s">
        <v>145</v>
      </c>
      <c r="V163" s="1" t="s">
        <v>1381</v>
      </c>
      <c r="W163" s="1" t="s">
        <v>35</v>
      </c>
      <c r="X163" s="1" t="s">
        <v>35</v>
      </c>
      <c r="Y163" s="1" t="s">
        <v>49</v>
      </c>
      <c r="Z163" s="1" t="s">
        <v>35</v>
      </c>
      <c r="AA163" s="1" t="s">
        <v>35</v>
      </c>
      <c r="AB163" s="1" t="s">
        <v>35</v>
      </c>
      <c r="AC163" s="1" t="s">
        <v>35</v>
      </c>
      <c r="AD163" s="1" t="s">
        <v>35</v>
      </c>
      <c r="AE163" s="1" t="s">
        <v>1382</v>
      </c>
      <c r="AF163" s="1" t="s">
        <v>1383</v>
      </c>
    </row>
    <row r="164" spans="1:32" s="46" customFormat="1" x14ac:dyDescent="0.25">
      <c r="A164" s="1" t="s">
        <v>65</v>
      </c>
      <c r="B164" s="1" t="s">
        <v>1384</v>
      </c>
      <c r="C164" s="1" t="s">
        <v>1385</v>
      </c>
      <c r="D164" s="1" t="s">
        <v>1386</v>
      </c>
      <c r="E164" s="24">
        <v>45879</v>
      </c>
      <c r="F164" s="2" t="s">
        <v>102</v>
      </c>
      <c r="G164" s="1" t="s">
        <v>194</v>
      </c>
      <c r="H164" s="1" t="s">
        <v>36</v>
      </c>
      <c r="I164" s="1" t="s">
        <v>37</v>
      </c>
      <c r="J164" s="1" t="s">
        <v>38</v>
      </c>
      <c r="K164" s="1" t="s">
        <v>55</v>
      </c>
      <c r="L164" s="1" t="s">
        <v>40</v>
      </c>
      <c r="M164" s="1" t="s">
        <v>56</v>
      </c>
      <c r="N164" s="1" t="s">
        <v>42</v>
      </c>
      <c r="O164" s="1" t="s">
        <v>43</v>
      </c>
      <c r="P164" s="1" t="s">
        <v>1387</v>
      </c>
      <c r="Q164" s="1" t="s">
        <v>42</v>
      </c>
      <c r="R164" s="1" t="s">
        <v>1388</v>
      </c>
      <c r="S164" s="1" t="s">
        <v>80</v>
      </c>
      <c r="T164" s="1" t="s">
        <v>60</v>
      </c>
      <c r="U164" s="1" t="s">
        <v>1316</v>
      </c>
      <c r="V164" s="1" t="s">
        <v>1389</v>
      </c>
      <c r="W164" s="1" t="s">
        <v>35</v>
      </c>
      <c r="X164" s="1" t="s">
        <v>35</v>
      </c>
      <c r="Y164" s="1" t="s">
        <v>104</v>
      </c>
      <c r="Z164" s="1" t="s">
        <v>35</v>
      </c>
      <c r="AA164" s="1" t="s">
        <v>35</v>
      </c>
      <c r="AB164" s="1" t="s">
        <v>35</v>
      </c>
      <c r="AC164" s="1" t="s">
        <v>35</v>
      </c>
      <c r="AD164" s="1" t="s">
        <v>35</v>
      </c>
      <c r="AE164" s="1" t="s">
        <v>1390</v>
      </c>
      <c r="AF164" s="1" t="s">
        <v>1391</v>
      </c>
    </row>
    <row r="165" spans="1:32" s="45" customFormat="1" x14ac:dyDescent="0.25">
      <c r="A165" s="1" t="s">
        <v>65</v>
      </c>
      <c r="B165" s="1" t="s">
        <v>1392</v>
      </c>
      <c r="C165" s="1" t="s">
        <v>1393</v>
      </c>
      <c r="D165" s="1" t="s">
        <v>1394</v>
      </c>
      <c r="E165" s="24">
        <v>45882</v>
      </c>
      <c r="F165" s="2" t="s">
        <v>102</v>
      </c>
      <c r="G165" s="1" t="s">
        <v>54</v>
      </c>
      <c r="H165" s="1" t="s">
        <v>36</v>
      </c>
      <c r="I165" s="1" t="s">
        <v>37</v>
      </c>
      <c r="J165" s="1" t="s">
        <v>38</v>
      </c>
      <c r="K165" s="1" t="s">
        <v>55</v>
      </c>
      <c r="L165" s="1" t="s">
        <v>40</v>
      </c>
      <c r="M165" s="1" t="s">
        <v>56</v>
      </c>
      <c r="N165" s="1" t="s">
        <v>42</v>
      </c>
      <c r="O165" s="1" t="s">
        <v>43</v>
      </c>
      <c r="P165" s="1" t="s">
        <v>1144</v>
      </c>
      <c r="Q165" s="1" t="s">
        <v>42</v>
      </c>
      <c r="R165" s="1" t="s">
        <v>1395</v>
      </c>
      <c r="S165" s="1" t="s">
        <v>252</v>
      </c>
      <c r="T165" s="1" t="s">
        <v>60</v>
      </c>
      <c r="U165" s="1" t="s">
        <v>757</v>
      </c>
      <c r="V165" s="1" t="s">
        <v>1396</v>
      </c>
      <c r="W165" s="1" t="s">
        <v>35</v>
      </c>
      <c r="X165" s="1" t="s">
        <v>35</v>
      </c>
      <c r="Y165" s="1" t="s">
        <v>104</v>
      </c>
      <c r="Z165" s="1" t="s">
        <v>35</v>
      </c>
      <c r="AA165" s="1" t="s">
        <v>35</v>
      </c>
      <c r="AB165" s="1" t="s">
        <v>35</v>
      </c>
      <c r="AC165" s="1" t="s">
        <v>35</v>
      </c>
      <c r="AD165" s="1" t="s">
        <v>35</v>
      </c>
      <c r="AE165" s="1" t="s">
        <v>1397</v>
      </c>
      <c r="AF165" s="1" t="s">
        <v>1398</v>
      </c>
    </row>
    <row r="166" spans="1:32" s="46" customFormat="1" x14ac:dyDescent="0.25">
      <c r="A166" s="1" t="s">
        <v>50</v>
      </c>
      <c r="B166" s="1" t="s">
        <v>1399</v>
      </c>
      <c r="C166" s="1" t="s">
        <v>1400</v>
      </c>
      <c r="D166" s="1" t="s">
        <v>1401</v>
      </c>
      <c r="E166" s="24">
        <v>45882</v>
      </c>
      <c r="F166" s="2" t="s">
        <v>102</v>
      </c>
      <c r="G166" s="1" t="s">
        <v>302</v>
      </c>
      <c r="H166" s="1" t="s">
        <v>36</v>
      </c>
      <c r="I166" s="1" t="s">
        <v>37</v>
      </c>
      <c r="J166" s="1" t="s">
        <v>38</v>
      </c>
      <c r="K166" s="1" t="s">
        <v>55</v>
      </c>
      <c r="L166" s="1" t="s">
        <v>69</v>
      </c>
      <c r="M166" s="1" t="s">
        <v>70</v>
      </c>
      <c r="N166" s="1" t="s">
        <v>42</v>
      </c>
      <c r="O166" s="1" t="s">
        <v>43</v>
      </c>
      <c r="P166" s="1" t="s">
        <v>433</v>
      </c>
      <c r="Q166" s="1" t="s">
        <v>42</v>
      </c>
      <c r="R166" s="1" t="s">
        <v>1402</v>
      </c>
      <c r="S166" s="1" t="s">
        <v>1403</v>
      </c>
      <c r="T166" s="1" t="s">
        <v>46</v>
      </c>
      <c r="U166" s="1" t="s">
        <v>145</v>
      </c>
      <c r="V166" s="1" t="s">
        <v>1404</v>
      </c>
      <c r="W166" s="1" t="s">
        <v>35</v>
      </c>
      <c r="X166" s="1" t="s">
        <v>35</v>
      </c>
      <c r="Y166" s="1" t="s">
        <v>49</v>
      </c>
      <c r="Z166" s="1" t="s">
        <v>35</v>
      </c>
      <c r="AA166" s="1" t="s">
        <v>35</v>
      </c>
      <c r="AB166" s="1" t="s">
        <v>35</v>
      </c>
      <c r="AC166" s="1" t="s">
        <v>35</v>
      </c>
      <c r="AD166" s="1" t="s">
        <v>35</v>
      </c>
      <c r="AE166" s="1" t="s">
        <v>1405</v>
      </c>
      <c r="AF166" s="1" t="s">
        <v>1406</v>
      </c>
    </row>
    <row r="167" spans="1:32" s="45" customFormat="1" x14ac:dyDescent="0.25">
      <c r="A167" s="1" t="s">
        <v>50</v>
      </c>
      <c r="B167" s="1" t="s">
        <v>1407</v>
      </c>
      <c r="C167" s="1" t="s">
        <v>1408</v>
      </c>
      <c r="D167" s="1" t="s">
        <v>1409</v>
      </c>
      <c r="E167" s="24">
        <v>45883</v>
      </c>
      <c r="F167" s="2" t="s">
        <v>103</v>
      </c>
      <c r="G167" s="1" t="s">
        <v>302</v>
      </c>
      <c r="H167" s="1" t="s">
        <v>36</v>
      </c>
      <c r="I167" s="1" t="s">
        <v>37</v>
      </c>
      <c r="J167" s="1" t="s">
        <v>38</v>
      </c>
      <c r="K167" s="1" t="s">
        <v>55</v>
      </c>
      <c r="L167" s="1" t="s">
        <v>40</v>
      </c>
      <c r="M167" s="1" t="s">
        <v>835</v>
      </c>
      <c r="N167" s="1" t="s">
        <v>42</v>
      </c>
      <c r="O167" s="1" t="s">
        <v>43</v>
      </c>
      <c r="P167" s="1" t="s">
        <v>835</v>
      </c>
      <c r="Q167" s="1" t="s">
        <v>42</v>
      </c>
      <c r="R167" s="1" t="s">
        <v>1410</v>
      </c>
      <c r="S167" s="1" t="s">
        <v>1411</v>
      </c>
      <c r="T167" s="1" t="s">
        <v>46</v>
      </c>
      <c r="U167" s="1" t="s">
        <v>145</v>
      </c>
      <c r="V167" s="1" t="s">
        <v>1412</v>
      </c>
      <c r="W167" s="1" t="s">
        <v>125</v>
      </c>
      <c r="X167" s="1" t="s">
        <v>1413</v>
      </c>
      <c r="Y167" s="1" t="s">
        <v>104</v>
      </c>
      <c r="Z167" s="1" t="s">
        <v>35</v>
      </c>
      <c r="AA167" s="1" t="s">
        <v>35</v>
      </c>
      <c r="AB167" s="1" t="s">
        <v>35</v>
      </c>
      <c r="AC167" s="1" t="s">
        <v>35</v>
      </c>
      <c r="AD167" s="1" t="s">
        <v>35</v>
      </c>
      <c r="AE167" s="1" t="s">
        <v>1414</v>
      </c>
      <c r="AF167" s="1" t="s">
        <v>1415</v>
      </c>
    </row>
    <row r="168" spans="1:32" s="46" customFormat="1" x14ac:dyDescent="0.25">
      <c r="A168" s="1" t="s">
        <v>65</v>
      </c>
      <c r="B168" s="1" t="s">
        <v>1416</v>
      </c>
      <c r="C168" s="1" t="s">
        <v>1417</v>
      </c>
      <c r="D168" s="1" t="s">
        <v>1418</v>
      </c>
      <c r="E168" s="24">
        <v>45883</v>
      </c>
      <c r="F168" s="2" t="s">
        <v>103</v>
      </c>
      <c r="G168" s="1" t="s">
        <v>54</v>
      </c>
      <c r="H168" s="1" t="s">
        <v>36</v>
      </c>
      <c r="I168" s="1" t="s">
        <v>37</v>
      </c>
      <c r="J168" s="1" t="s">
        <v>38</v>
      </c>
      <c r="K168" s="1" t="s">
        <v>55</v>
      </c>
      <c r="L168" s="1" t="s">
        <v>40</v>
      </c>
      <c r="M168" s="1" t="s">
        <v>56</v>
      </c>
      <c r="N168" s="1" t="s">
        <v>42</v>
      </c>
      <c r="O168" s="1" t="s">
        <v>43</v>
      </c>
      <c r="P168" s="1" t="s">
        <v>433</v>
      </c>
      <c r="Q168" s="1" t="s">
        <v>42</v>
      </c>
      <c r="R168" s="1" t="s">
        <v>1419</v>
      </c>
      <c r="S168" s="1" t="s">
        <v>144</v>
      </c>
      <c r="T168" s="1" t="s">
        <v>60</v>
      </c>
      <c r="U168" s="1" t="s">
        <v>145</v>
      </c>
      <c r="V168" s="1" t="s">
        <v>1420</v>
      </c>
      <c r="W168" s="1" t="s">
        <v>35</v>
      </c>
      <c r="X168" s="1" t="s">
        <v>35</v>
      </c>
      <c r="Y168" s="1" t="s">
        <v>104</v>
      </c>
      <c r="Z168" s="1" t="s">
        <v>35</v>
      </c>
      <c r="AA168" s="1" t="s">
        <v>35</v>
      </c>
      <c r="AB168" s="1" t="s">
        <v>35</v>
      </c>
      <c r="AC168" s="1" t="s">
        <v>35</v>
      </c>
      <c r="AD168" s="1" t="s">
        <v>35</v>
      </c>
      <c r="AE168" s="1" t="s">
        <v>1421</v>
      </c>
      <c r="AF168" s="1" t="s">
        <v>1422</v>
      </c>
    </row>
    <row r="169" spans="1:32" s="45" customFormat="1" x14ac:dyDescent="0.25">
      <c r="A169" s="1" t="s">
        <v>50</v>
      </c>
      <c r="B169" s="1" t="s">
        <v>1372</v>
      </c>
      <c r="C169" s="1" t="s">
        <v>1373</v>
      </c>
      <c r="D169" s="1" t="s">
        <v>1423</v>
      </c>
      <c r="E169" s="24">
        <v>45886</v>
      </c>
      <c r="F169" s="2" t="s">
        <v>102</v>
      </c>
      <c r="G169" s="1" t="s">
        <v>54</v>
      </c>
      <c r="H169" s="1" t="s">
        <v>36</v>
      </c>
      <c r="I169" s="1" t="s">
        <v>37</v>
      </c>
      <c r="J169" s="1" t="s">
        <v>38</v>
      </c>
      <c r="K169" s="1" t="s">
        <v>55</v>
      </c>
      <c r="L169" s="1" t="s">
        <v>176</v>
      </c>
      <c r="M169" s="1" t="s">
        <v>56</v>
      </c>
      <c r="N169" s="1" t="s">
        <v>42</v>
      </c>
      <c r="O169" s="1" t="s">
        <v>43</v>
      </c>
      <c r="P169" s="1" t="s">
        <v>56</v>
      </c>
      <c r="Q169" s="1" t="s">
        <v>42</v>
      </c>
      <c r="R169" s="1" t="s">
        <v>1298</v>
      </c>
      <c r="S169" s="1" t="s">
        <v>259</v>
      </c>
      <c r="T169" s="1" t="s">
        <v>46</v>
      </c>
      <c r="U169" s="1" t="s">
        <v>81</v>
      </c>
      <c r="V169" s="1" t="s">
        <v>1375</v>
      </c>
      <c r="W169" s="1" t="s">
        <v>35</v>
      </c>
      <c r="X169" s="1" t="s">
        <v>35</v>
      </c>
      <c r="Y169" s="1" t="s">
        <v>104</v>
      </c>
      <c r="Z169" s="1" t="s">
        <v>35</v>
      </c>
      <c r="AA169" s="1" t="s">
        <v>35</v>
      </c>
      <c r="AB169" s="1" t="s">
        <v>35</v>
      </c>
      <c r="AC169" s="1" t="s">
        <v>35</v>
      </c>
      <c r="AD169" s="1" t="s">
        <v>35</v>
      </c>
      <c r="AE169" s="1" t="s">
        <v>1424</v>
      </c>
      <c r="AF169" s="1" t="s">
        <v>1425</v>
      </c>
    </row>
    <row r="170" spans="1:32" s="46" customFormat="1" x14ac:dyDescent="0.25">
      <c r="A170" s="1" t="s">
        <v>65</v>
      </c>
      <c r="B170" s="1" t="s">
        <v>1426</v>
      </c>
      <c r="C170" s="1" t="s">
        <v>1427</v>
      </c>
      <c r="D170" s="1" t="s">
        <v>1428</v>
      </c>
      <c r="E170" s="24">
        <v>45887</v>
      </c>
      <c r="F170" s="2" t="s">
        <v>102</v>
      </c>
      <c r="G170" s="1" t="s">
        <v>54</v>
      </c>
      <c r="H170" s="1" t="s">
        <v>36</v>
      </c>
      <c r="I170" s="1" t="s">
        <v>37</v>
      </c>
      <c r="J170" s="1" t="s">
        <v>38</v>
      </c>
      <c r="K170" s="1" t="s">
        <v>55</v>
      </c>
      <c r="L170" s="1" t="s">
        <v>40</v>
      </c>
      <c r="M170" s="1" t="s">
        <v>56</v>
      </c>
      <c r="N170" s="1" t="s">
        <v>42</v>
      </c>
      <c r="O170" s="1" t="s">
        <v>43</v>
      </c>
      <c r="P170" s="1" t="s">
        <v>56</v>
      </c>
      <c r="Q170" s="1" t="s">
        <v>42</v>
      </c>
      <c r="R170" s="1" t="s">
        <v>1429</v>
      </c>
      <c r="S170" s="1" t="s">
        <v>675</v>
      </c>
      <c r="T170" s="1" t="s">
        <v>60</v>
      </c>
      <c r="U170" s="1" t="s">
        <v>410</v>
      </c>
      <c r="V170" s="1" t="s">
        <v>1430</v>
      </c>
      <c r="W170" s="1" t="s">
        <v>35</v>
      </c>
      <c r="X170" s="1" t="s">
        <v>35</v>
      </c>
      <c r="Y170" s="1" t="s">
        <v>104</v>
      </c>
      <c r="Z170" s="1" t="s">
        <v>35</v>
      </c>
      <c r="AA170" s="1" t="s">
        <v>35</v>
      </c>
      <c r="AB170" s="1" t="s">
        <v>35</v>
      </c>
      <c r="AC170" s="1" t="s">
        <v>35</v>
      </c>
      <c r="AD170" s="1" t="s">
        <v>35</v>
      </c>
      <c r="AE170" s="1" t="s">
        <v>1431</v>
      </c>
      <c r="AF170" s="1" t="s">
        <v>1432</v>
      </c>
    </row>
    <row r="171" spans="1:32" x14ac:dyDescent="0.25">
      <c r="A171" s="1" t="s">
        <v>50</v>
      </c>
      <c r="B171" s="1" t="s">
        <v>1433</v>
      </c>
      <c r="C171" s="1" t="s">
        <v>1434</v>
      </c>
      <c r="D171" s="1" t="s">
        <v>1435</v>
      </c>
      <c r="E171" s="24">
        <v>45887</v>
      </c>
      <c r="F171" s="2" t="s">
        <v>103</v>
      </c>
      <c r="G171" s="1" t="s">
        <v>54</v>
      </c>
      <c r="H171" s="1" t="s">
        <v>36</v>
      </c>
      <c r="I171" s="1" t="s">
        <v>37</v>
      </c>
      <c r="J171" s="1" t="s">
        <v>38</v>
      </c>
      <c r="K171" s="1" t="s">
        <v>55</v>
      </c>
      <c r="L171" s="1" t="s">
        <v>176</v>
      </c>
      <c r="M171" s="1" t="s">
        <v>458</v>
      </c>
      <c r="N171" s="1" t="s">
        <v>42</v>
      </c>
      <c r="O171" s="1" t="s">
        <v>43</v>
      </c>
      <c r="P171" s="1" t="s">
        <v>600</v>
      </c>
      <c r="Q171" s="1" t="s">
        <v>42</v>
      </c>
      <c r="R171" s="1" t="s">
        <v>1436</v>
      </c>
      <c r="S171" s="1" t="s">
        <v>167</v>
      </c>
      <c r="T171" s="1" t="s">
        <v>60</v>
      </c>
      <c r="U171" s="1" t="s">
        <v>81</v>
      </c>
      <c r="V171" s="1" t="s">
        <v>1437</v>
      </c>
      <c r="W171" s="1" t="s">
        <v>35</v>
      </c>
      <c r="X171" s="1" t="s">
        <v>35</v>
      </c>
      <c r="Y171" s="1" t="s">
        <v>49</v>
      </c>
      <c r="Z171" s="1" t="s">
        <v>35</v>
      </c>
      <c r="AA171" s="1" t="s">
        <v>35</v>
      </c>
      <c r="AB171" s="1" t="s">
        <v>35</v>
      </c>
      <c r="AC171" s="1" t="s">
        <v>35</v>
      </c>
      <c r="AD171" s="1" t="s">
        <v>35</v>
      </c>
      <c r="AE171" s="1" t="s">
        <v>1438</v>
      </c>
      <c r="AF171" s="1" t="s">
        <v>1439</v>
      </c>
    </row>
    <row r="172" spans="1:32" x14ac:dyDescent="0.25">
      <c r="A172" s="1" t="s">
        <v>50</v>
      </c>
      <c r="B172" s="1" t="s">
        <v>1440</v>
      </c>
      <c r="C172" s="1" t="s">
        <v>1441</v>
      </c>
      <c r="D172" s="1" t="s">
        <v>1442</v>
      </c>
      <c r="E172" s="24">
        <v>45887</v>
      </c>
      <c r="F172" s="2" t="s">
        <v>103</v>
      </c>
      <c r="G172" s="1" t="s">
        <v>194</v>
      </c>
      <c r="H172" s="1" t="s">
        <v>36</v>
      </c>
      <c r="I172" s="1" t="s">
        <v>37</v>
      </c>
      <c r="J172" s="1" t="s">
        <v>38</v>
      </c>
      <c r="K172" s="1" t="s">
        <v>55</v>
      </c>
      <c r="L172" s="1" t="s">
        <v>69</v>
      </c>
      <c r="M172" s="1" t="s">
        <v>476</v>
      </c>
      <c r="N172" s="1" t="s">
        <v>42</v>
      </c>
      <c r="O172" s="1" t="s">
        <v>43</v>
      </c>
      <c r="P172" s="1" t="s">
        <v>1061</v>
      </c>
      <c r="Q172" s="1" t="s">
        <v>42</v>
      </c>
      <c r="R172" s="1" t="s">
        <v>1443</v>
      </c>
      <c r="S172" s="1" t="s">
        <v>1444</v>
      </c>
      <c r="T172" s="1" t="s">
        <v>46</v>
      </c>
      <c r="U172" s="1" t="s">
        <v>61</v>
      </c>
      <c r="V172" s="1" t="s">
        <v>1445</v>
      </c>
      <c r="W172" s="1" t="s">
        <v>35</v>
      </c>
      <c r="X172" s="1" t="s">
        <v>35</v>
      </c>
      <c r="Y172" s="1" t="s">
        <v>49</v>
      </c>
      <c r="Z172" s="1" t="s">
        <v>35</v>
      </c>
      <c r="AA172" s="1" t="s">
        <v>35</v>
      </c>
      <c r="AB172" s="1" t="s">
        <v>35</v>
      </c>
      <c r="AC172" s="1" t="s">
        <v>35</v>
      </c>
      <c r="AD172" s="1" t="s">
        <v>35</v>
      </c>
      <c r="AE172" s="1" t="s">
        <v>1446</v>
      </c>
      <c r="AF172" s="1" t="s">
        <v>1447</v>
      </c>
    </row>
    <row r="173" spans="1:32" x14ac:dyDescent="0.25">
      <c r="A173" s="1" t="s">
        <v>50</v>
      </c>
      <c r="B173" s="1" t="s">
        <v>1448</v>
      </c>
      <c r="C173" s="1" t="s">
        <v>1449</v>
      </c>
      <c r="D173" s="1" t="s">
        <v>1450</v>
      </c>
      <c r="E173" s="24">
        <v>45888</v>
      </c>
      <c r="F173" s="2" t="s">
        <v>103</v>
      </c>
      <c r="G173" s="1" t="s">
        <v>302</v>
      </c>
      <c r="H173" s="1" t="s">
        <v>36</v>
      </c>
      <c r="I173" s="1" t="s">
        <v>37</v>
      </c>
      <c r="J173" s="1" t="s">
        <v>38</v>
      </c>
      <c r="K173" s="1" t="s">
        <v>55</v>
      </c>
      <c r="L173" s="1" t="s">
        <v>40</v>
      </c>
      <c r="M173" s="1" t="s">
        <v>177</v>
      </c>
      <c r="N173" s="1" t="s">
        <v>42</v>
      </c>
      <c r="O173" s="1" t="s">
        <v>43</v>
      </c>
      <c r="P173" s="1" t="s">
        <v>120</v>
      </c>
      <c r="Q173" s="1" t="s">
        <v>42</v>
      </c>
      <c r="R173" s="1" t="s">
        <v>1451</v>
      </c>
      <c r="S173" s="1" t="s">
        <v>1452</v>
      </c>
      <c r="T173" s="1" t="s">
        <v>60</v>
      </c>
      <c r="U173" s="1" t="s">
        <v>145</v>
      </c>
      <c r="V173" s="1" t="s">
        <v>1453</v>
      </c>
      <c r="W173" s="1" t="s">
        <v>35</v>
      </c>
      <c r="X173" s="1" t="s">
        <v>35</v>
      </c>
      <c r="Y173" s="1" t="s">
        <v>49</v>
      </c>
      <c r="Z173" s="1" t="s">
        <v>35</v>
      </c>
      <c r="AA173" s="1" t="s">
        <v>35</v>
      </c>
      <c r="AB173" s="1" t="s">
        <v>35</v>
      </c>
      <c r="AC173" s="1" t="s">
        <v>35</v>
      </c>
      <c r="AD173" s="1" t="s">
        <v>35</v>
      </c>
      <c r="AE173" s="1" t="s">
        <v>1454</v>
      </c>
      <c r="AF173" s="1" t="s">
        <v>1455</v>
      </c>
    </row>
    <row r="174" spans="1:32" x14ac:dyDescent="0.25">
      <c r="A174" s="1" t="s">
        <v>65</v>
      </c>
      <c r="B174" s="1" t="s">
        <v>1456</v>
      </c>
      <c r="C174" s="1" t="s">
        <v>1457</v>
      </c>
      <c r="D174" s="1" t="s">
        <v>1458</v>
      </c>
      <c r="E174" s="24">
        <v>45888</v>
      </c>
      <c r="F174" s="2" t="s">
        <v>102</v>
      </c>
      <c r="G174" s="1" t="s">
        <v>194</v>
      </c>
      <c r="H174" s="1" t="s">
        <v>36</v>
      </c>
      <c r="I174" s="1" t="s">
        <v>37</v>
      </c>
      <c r="J174" s="1" t="s">
        <v>432</v>
      </c>
      <c r="K174" s="1" t="s">
        <v>55</v>
      </c>
      <c r="L174" s="1" t="s">
        <v>432</v>
      </c>
      <c r="M174" s="1" t="s">
        <v>1144</v>
      </c>
      <c r="N174" s="1" t="s">
        <v>42</v>
      </c>
      <c r="O174" s="1" t="s">
        <v>43</v>
      </c>
      <c r="P174" s="1" t="s">
        <v>1459</v>
      </c>
      <c r="Q174" s="1" t="s">
        <v>42</v>
      </c>
      <c r="R174" s="1" t="s">
        <v>1460</v>
      </c>
      <c r="S174" s="1" t="s">
        <v>89</v>
      </c>
      <c r="T174" s="1" t="s">
        <v>60</v>
      </c>
      <c r="U174" s="1" t="s">
        <v>1461</v>
      </c>
      <c r="V174" s="1" t="s">
        <v>1462</v>
      </c>
      <c r="W174" s="1" t="s">
        <v>35</v>
      </c>
      <c r="X174" s="1" t="s">
        <v>35</v>
      </c>
      <c r="Y174" s="1" t="s">
        <v>49</v>
      </c>
      <c r="Z174" s="1" t="s">
        <v>35</v>
      </c>
      <c r="AA174" s="1" t="s">
        <v>35</v>
      </c>
      <c r="AB174" s="1" t="s">
        <v>35</v>
      </c>
      <c r="AC174" s="1" t="s">
        <v>35</v>
      </c>
      <c r="AD174" s="1" t="s">
        <v>35</v>
      </c>
      <c r="AE174" s="1" t="s">
        <v>1463</v>
      </c>
      <c r="AF174" s="1" t="s">
        <v>1464</v>
      </c>
    </row>
    <row r="175" spans="1:32" x14ac:dyDescent="0.25">
      <c r="A175" s="1" t="s">
        <v>65</v>
      </c>
      <c r="B175" s="1" t="s">
        <v>1465</v>
      </c>
      <c r="C175" s="1" t="s">
        <v>1466</v>
      </c>
      <c r="D175" s="1" t="s">
        <v>1467</v>
      </c>
      <c r="E175" s="24">
        <v>45888</v>
      </c>
      <c r="F175" s="2" t="s">
        <v>103</v>
      </c>
      <c r="G175" s="1" t="s">
        <v>194</v>
      </c>
      <c r="H175" s="1" t="s">
        <v>36</v>
      </c>
      <c r="I175" s="1" t="s">
        <v>37</v>
      </c>
      <c r="J175" s="1" t="s">
        <v>38</v>
      </c>
      <c r="K175" s="1" t="s">
        <v>55</v>
      </c>
      <c r="L175" s="1" t="s">
        <v>242</v>
      </c>
      <c r="M175" s="1" t="s">
        <v>177</v>
      </c>
      <c r="N175" s="1" t="s">
        <v>42</v>
      </c>
      <c r="O175" s="1" t="s">
        <v>43</v>
      </c>
      <c r="P175" s="1" t="s">
        <v>1468</v>
      </c>
      <c r="Q175" s="1" t="s">
        <v>42</v>
      </c>
      <c r="R175" s="1" t="s">
        <v>601</v>
      </c>
      <c r="S175" s="1" t="s">
        <v>122</v>
      </c>
      <c r="T175" s="1" t="s">
        <v>60</v>
      </c>
      <c r="U175" s="1" t="s">
        <v>668</v>
      </c>
      <c r="V175" s="1" t="s">
        <v>1469</v>
      </c>
      <c r="W175" s="1" t="s">
        <v>35</v>
      </c>
      <c r="X175" s="1" t="s">
        <v>35</v>
      </c>
      <c r="Y175" s="1" t="s">
        <v>49</v>
      </c>
      <c r="Z175" s="1" t="s">
        <v>35</v>
      </c>
      <c r="AA175" s="1" t="s">
        <v>35</v>
      </c>
      <c r="AB175" s="1" t="s">
        <v>35</v>
      </c>
      <c r="AC175" s="1" t="s">
        <v>35</v>
      </c>
      <c r="AD175" s="1" t="s">
        <v>35</v>
      </c>
      <c r="AE175" s="1" t="s">
        <v>1470</v>
      </c>
      <c r="AF175" s="1" t="s">
        <v>1471</v>
      </c>
    </row>
    <row r="176" spans="1:32" x14ac:dyDescent="0.25">
      <c r="A176" s="1" t="s">
        <v>50</v>
      </c>
      <c r="B176" s="1" t="s">
        <v>1472</v>
      </c>
      <c r="C176" s="1" t="s">
        <v>1473</v>
      </c>
      <c r="D176" s="1" t="s">
        <v>1474</v>
      </c>
      <c r="E176" s="24">
        <v>45888</v>
      </c>
      <c r="F176" s="2" t="s">
        <v>103</v>
      </c>
      <c r="G176" s="1" t="s">
        <v>302</v>
      </c>
      <c r="H176" s="1" t="s">
        <v>36</v>
      </c>
      <c r="I176" s="1" t="s">
        <v>37</v>
      </c>
      <c r="J176" s="1" t="s">
        <v>38</v>
      </c>
      <c r="K176" s="1" t="s">
        <v>55</v>
      </c>
      <c r="L176" s="1" t="s">
        <v>242</v>
      </c>
      <c r="M176" s="1" t="s">
        <v>835</v>
      </c>
      <c r="N176" s="1" t="s">
        <v>42</v>
      </c>
      <c r="O176" s="1" t="s">
        <v>43</v>
      </c>
      <c r="P176" s="1" t="s">
        <v>835</v>
      </c>
      <c r="Q176" s="1" t="s">
        <v>42</v>
      </c>
      <c r="R176" s="1" t="s">
        <v>1475</v>
      </c>
      <c r="S176" s="1" t="s">
        <v>367</v>
      </c>
      <c r="T176" s="1" t="s">
        <v>60</v>
      </c>
      <c r="U176" s="1" t="s">
        <v>145</v>
      </c>
      <c r="V176" s="1" t="s">
        <v>1476</v>
      </c>
      <c r="W176" s="1" t="s">
        <v>35</v>
      </c>
      <c r="X176" s="1" t="s">
        <v>35</v>
      </c>
      <c r="Y176" s="1" t="s">
        <v>49</v>
      </c>
      <c r="Z176" s="1" t="s">
        <v>35</v>
      </c>
      <c r="AA176" s="1" t="s">
        <v>35</v>
      </c>
      <c r="AB176" s="1" t="s">
        <v>35</v>
      </c>
      <c r="AC176" s="1" t="s">
        <v>35</v>
      </c>
      <c r="AD176" s="1" t="s">
        <v>35</v>
      </c>
      <c r="AE176" s="1" t="s">
        <v>1477</v>
      </c>
      <c r="AF176" s="1" t="s">
        <v>1478</v>
      </c>
    </row>
    <row r="177" spans="1:32" x14ac:dyDescent="0.25">
      <c r="A177" s="1" t="s">
        <v>65</v>
      </c>
      <c r="B177" s="1" t="s">
        <v>1479</v>
      </c>
      <c r="C177" s="1" t="s">
        <v>1480</v>
      </c>
      <c r="D177" s="1" t="s">
        <v>1481</v>
      </c>
      <c r="E177" s="24">
        <v>45894</v>
      </c>
      <c r="F177" s="2" t="s">
        <v>102</v>
      </c>
      <c r="G177" s="1" t="s">
        <v>54</v>
      </c>
      <c r="H177" s="1" t="s">
        <v>36</v>
      </c>
      <c r="I177" s="1" t="s">
        <v>37</v>
      </c>
      <c r="J177" s="1" t="s">
        <v>38</v>
      </c>
      <c r="K177" s="1" t="s">
        <v>55</v>
      </c>
      <c r="L177" s="1" t="s">
        <v>69</v>
      </c>
      <c r="M177" s="1" t="s">
        <v>56</v>
      </c>
      <c r="N177" s="1" t="s">
        <v>42</v>
      </c>
      <c r="O177" s="1" t="s">
        <v>43</v>
      </c>
      <c r="P177" s="1" t="s">
        <v>1144</v>
      </c>
      <c r="Q177" s="1" t="s">
        <v>42</v>
      </c>
      <c r="R177" s="1" t="s">
        <v>1482</v>
      </c>
      <c r="S177" s="1" t="s">
        <v>197</v>
      </c>
      <c r="T177" s="1" t="s">
        <v>60</v>
      </c>
      <c r="U177" s="1" t="s">
        <v>1499</v>
      </c>
      <c r="V177" s="1" t="s">
        <v>1483</v>
      </c>
      <c r="W177" s="1" t="s">
        <v>35</v>
      </c>
      <c r="X177" s="1" t="s">
        <v>35</v>
      </c>
      <c r="Y177" s="1" t="s">
        <v>49</v>
      </c>
      <c r="Z177" s="1" t="s">
        <v>35</v>
      </c>
      <c r="AA177" s="1" t="s">
        <v>35</v>
      </c>
      <c r="AB177" s="1" t="s">
        <v>35</v>
      </c>
      <c r="AC177" s="1" t="s">
        <v>587</v>
      </c>
      <c r="AD177" s="1" t="s">
        <v>1484</v>
      </c>
      <c r="AE177" s="1" t="s">
        <v>1485</v>
      </c>
      <c r="AF177" s="1" t="s">
        <v>1486</v>
      </c>
    </row>
    <row r="178" spans="1:32" x14ac:dyDescent="0.25">
      <c r="A178" s="1" t="s">
        <v>65</v>
      </c>
      <c r="B178" s="1" t="s">
        <v>1487</v>
      </c>
      <c r="C178" s="1" t="s">
        <v>1488</v>
      </c>
      <c r="D178" s="1" t="s">
        <v>1489</v>
      </c>
      <c r="E178" s="24">
        <v>45894</v>
      </c>
      <c r="F178" s="2" t="s">
        <v>102</v>
      </c>
      <c r="G178" s="1" t="s">
        <v>54</v>
      </c>
      <c r="H178" s="1" t="s">
        <v>36</v>
      </c>
      <c r="I178" s="1" t="s">
        <v>37</v>
      </c>
      <c r="J178" s="1" t="s">
        <v>38</v>
      </c>
      <c r="K178" s="1" t="s">
        <v>55</v>
      </c>
      <c r="L178" s="1" t="s">
        <v>176</v>
      </c>
      <c r="M178" s="1" t="s">
        <v>56</v>
      </c>
      <c r="N178" s="1" t="s">
        <v>42</v>
      </c>
      <c r="O178" s="1" t="s">
        <v>43</v>
      </c>
      <c r="P178" s="1" t="s">
        <v>1144</v>
      </c>
      <c r="Q178" s="1" t="s">
        <v>42</v>
      </c>
      <c r="R178" s="1" t="s">
        <v>1490</v>
      </c>
      <c r="S178" s="1" t="s">
        <v>675</v>
      </c>
      <c r="T178" s="1" t="s">
        <v>60</v>
      </c>
      <c r="U178" s="1" t="s">
        <v>838</v>
      </c>
      <c r="V178" s="1" t="s">
        <v>1491</v>
      </c>
      <c r="W178" s="1" t="s">
        <v>35</v>
      </c>
      <c r="X178" s="1" t="s">
        <v>35</v>
      </c>
      <c r="Y178" s="1" t="s">
        <v>49</v>
      </c>
      <c r="Z178" s="1" t="s">
        <v>35</v>
      </c>
      <c r="AA178" s="1" t="s">
        <v>35</v>
      </c>
      <c r="AB178" s="1" t="s">
        <v>35</v>
      </c>
      <c r="AC178" s="1" t="s">
        <v>587</v>
      </c>
      <c r="AD178" s="1" t="s">
        <v>1492</v>
      </c>
      <c r="AE178" s="1" t="s">
        <v>1493</v>
      </c>
      <c r="AF178" s="1" t="s">
        <v>1494</v>
      </c>
    </row>
    <row r="179" spans="1:32" x14ac:dyDescent="0.25">
      <c r="A179" s="1" t="s">
        <v>65</v>
      </c>
      <c r="B179" s="1" t="s">
        <v>1495</v>
      </c>
      <c r="C179" s="1" t="s">
        <v>1496</v>
      </c>
      <c r="D179" s="1" t="s">
        <v>1497</v>
      </c>
      <c r="E179" s="24">
        <v>45894</v>
      </c>
      <c r="F179" s="2" t="s">
        <v>102</v>
      </c>
      <c r="G179" s="1" t="s">
        <v>54</v>
      </c>
      <c r="H179" s="1" t="s">
        <v>36</v>
      </c>
      <c r="I179" s="1" t="s">
        <v>37</v>
      </c>
      <c r="J179" s="1" t="s">
        <v>38</v>
      </c>
      <c r="K179" s="1" t="s">
        <v>55</v>
      </c>
      <c r="L179" s="1" t="s">
        <v>176</v>
      </c>
      <c r="M179" s="1" t="s">
        <v>56</v>
      </c>
      <c r="N179" s="1" t="s">
        <v>42</v>
      </c>
      <c r="O179" s="1" t="s">
        <v>43</v>
      </c>
      <c r="P179" s="1" t="s">
        <v>1144</v>
      </c>
      <c r="Q179" s="1" t="s">
        <v>42</v>
      </c>
      <c r="R179" s="1" t="s">
        <v>1498</v>
      </c>
      <c r="S179" s="1" t="s">
        <v>45</v>
      </c>
      <c r="T179" s="1" t="s">
        <v>60</v>
      </c>
      <c r="U179" s="1" t="s">
        <v>1499</v>
      </c>
      <c r="V179" s="1" t="s">
        <v>1500</v>
      </c>
      <c r="W179" s="1" t="s">
        <v>35</v>
      </c>
      <c r="X179" s="1" t="s">
        <v>35</v>
      </c>
      <c r="Y179" s="1" t="s">
        <v>49</v>
      </c>
      <c r="Z179" s="1" t="s">
        <v>35</v>
      </c>
      <c r="AA179" s="1" t="s">
        <v>35</v>
      </c>
      <c r="AB179" s="1" t="s">
        <v>35</v>
      </c>
      <c r="AC179" s="1" t="s">
        <v>35</v>
      </c>
      <c r="AD179" s="1" t="s">
        <v>35</v>
      </c>
      <c r="AE179" s="1" t="s">
        <v>1501</v>
      </c>
      <c r="AF179" s="1" t="s">
        <v>1502</v>
      </c>
    </row>
    <row r="180" spans="1:32" x14ac:dyDescent="0.25">
      <c r="A180" s="1" t="s">
        <v>65</v>
      </c>
      <c r="B180" s="1" t="s">
        <v>1503</v>
      </c>
      <c r="C180" s="1" t="s">
        <v>1504</v>
      </c>
      <c r="D180" s="1" t="s">
        <v>1505</v>
      </c>
      <c r="E180" s="24">
        <v>45894</v>
      </c>
      <c r="F180" s="2" t="s">
        <v>103</v>
      </c>
      <c r="G180" s="1" t="s">
        <v>35</v>
      </c>
      <c r="H180" s="1" t="s">
        <v>36</v>
      </c>
      <c r="I180" s="1" t="s">
        <v>37</v>
      </c>
      <c r="J180" s="1" t="s">
        <v>38</v>
      </c>
      <c r="K180" s="1" t="s">
        <v>55</v>
      </c>
      <c r="L180" s="1" t="s">
        <v>40</v>
      </c>
      <c r="M180" s="1" t="s">
        <v>56</v>
      </c>
      <c r="N180" s="1" t="s">
        <v>42</v>
      </c>
      <c r="O180" s="1" t="s">
        <v>43</v>
      </c>
      <c r="P180" s="1" t="s">
        <v>1144</v>
      </c>
      <c r="Q180" s="1" t="s">
        <v>42</v>
      </c>
      <c r="R180" s="1" t="s">
        <v>1506</v>
      </c>
      <c r="S180" s="1" t="s">
        <v>451</v>
      </c>
      <c r="T180" s="1" t="s">
        <v>60</v>
      </c>
      <c r="U180" s="1" t="s">
        <v>145</v>
      </c>
      <c r="V180" s="1" t="s">
        <v>1507</v>
      </c>
      <c r="W180" s="1" t="s">
        <v>35</v>
      </c>
      <c r="X180" s="1" t="s">
        <v>35</v>
      </c>
      <c r="Y180" s="1" t="s">
        <v>49</v>
      </c>
      <c r="Z180" s="1" t="s">
        <v>35</v>
      </c>
      <c r="AA180" s="1" t="s">
        <v>35</v>
      </c>
      <c r="AB180" s="1" t="s">
        <v>35</v>
      </c>
      <c r="AC180" s="1" t="s">
        <v>35</v>
      </c>
      <c r="AD180" s="1" t="s">
        <v>35</v>
      </c>
      <c r="AE180" s="1" t="s">
        <v>1508</v>
      </c>
      <c r="AF180" s="1" t="s">
        <v>1509</v>
      </c>
    </row>
    <row r="181" spans="1:32" x14ac:dyDescent="0.25">
      <c r="A181" s="1" t="s">
        <v>65</v>
      </c>
      <c r="B181" s="1" t="s">
        <v>1510</v>
      </c>
      <c r="C181" s="1" t="s">
        <v>1511</v>
      </c>
      <c r="D181" s="1" t="s">
        <v>1512</v>
      </c>
      <c r="E181" s="24">
        <v>45894</v>
      </c>
      <c r="F181" s="2" t="s">
        <v>103</v>
      </c>
      <c r="G181" s="1" t="s">
        <v>35</v>
      </c>
      <c r="H181" s="1" t="s">
        <v>36</v>
      </c>
      <c r="I181" s="1" t="s">
        <v>37</v>
      </c>
      <c r="J181" s="1" t="s">
        <v>38</v>
      </c>
      <c r="K181" s="1" t="s">
        <v>55</v>
      </c>
      <c r="L181" s="1" t="s">
        <v>176</v>
      </c>
      <c r="M181" s="1" t="s">
        <v>56</v>
      </c>
      <c r="N181" s="1" t="s">
        <v>42</v>
      </c>
      <c r="O181" s="1" t="s">
        <v>43</v>
      </c>
      <c r="P181" s="1" t="s">
        <v>1144</v>
      </c>
      <c r="Q181" s="1" t="s">
        <v>42</v>
      </c>
      <c r="R181" s="1" t="s">
        <v>1513</v>
      </c>
      <c r="S181" s="1" t="s">
        <v>569</v>
      </c>
      <c r="T181" s="1" t="s">
        <v>60</v>
      </c>
      <c r="U181" s="1" t="s">
        <v>61</v>
      </c>
      <c r="V181" s="1" t="s">
        <v>1514</v>
      </c>
      <c r="W181" s="1" t="s">
        <v>35</v>
      </c>
      <c r="X181" s="1" t="s">
        <v>35</v>
      </c>
      <c r="Y181" s="1" t="s">
        <v>49</v>
      </c>
      <c r="Z181" s="1" t="s">
        <v>35</v>
      </c>
      <c r="AA181" s="1" t="s">
        <v>35</v>
      </c>
      <c r="AB181" s="1" t="s">
        <v>35</v>
      </c>
      <c r="AC181" s="1" t="s">
        <v>35</v>
      </c>
      <c r="AD181" s="1" t="s">
        <v>35</v>
      </c>
      <c r="AE181" s="1" t="s">
        <v>1515</v>
      </c>
      <c r="AF181" s="1" t="s">
        <v>1516</v>
      </c>
    </row>
    <row r="182" spans="1:32" x14ac:dyDescent="0.25">
      <c r="A182" s="1" t="s">
        <v>50</v>
      </c>
      <c r="B182" s="1" t="s">
        <v>1517</v>
      </c>
      <c r="C182" s="1" t="s">
        <v>1518</v>
      </c>
      <c r="D182" s="1" t="s">
        <v>1519</v>
      </c>
      <c r="E182" s="24">
        <v>45894</v>
      </c>
      <c r="F182" s="2" t="s">
        <v>103</v>
      </c>
      <c r="G182" s="1" t="s">
        <v>302</v>
      </c>
      <c r="H182" s="1" t="s">
        <v>36</v>
      </c>
      <c r="I182" s="1" t="s">
        <v>37</v>
      </c>
      <c r="J182" s="1" t="s">
        <v>38</v>
      </c>
      <c r="K182" s="1" t="s">
        <v>55</v>
      </c>
      <c r="L182" s="1" t="s">
        <v>242</v>
      </c>
      <c r="M182" s="1" t="s">
        <v>70</v>
      </c>
      <c r="N182" s="1" t="s">
        <v>42</v>
      </c>
      <c r="O182" s="1" t="s">
        <v>43</v>
      </c>
      <c r="P182" s="1" t="s">
        <v>70</v>
      </c>
      <c r="Q182" s="1" t="s">
        <v>42</v>
      </c>
      <c r="R182" s="1" t="s">
        <v>1520</v>
      </c>
      <c r="S182" s="1" t="s">
        <v>1341</v>
      </c>
      <c r="T182" s="1" t="s">
        <v>60</v>
      </c>
      <c r="U182" s="1" t="s">
        <v>145</v>
      </c>
      <c r="V182" s="1" t="s">
        <v>1521</v>
      </c>
      <c r="W182" s="1" t="s">
        <v>35</v>
      </c>
      <c r="X182" s="1" t="s">
        <v>35</v>
      </c>
      <c r="Y182" s="1" t="s">
        <v>49</v>
      </c>
      <c r="Z182" s="1" t="s">
        <v>35</v>
      </c>
      <c r="AA182" s="1" t="s">
        <v>35</v>
      </c>
      <c r="AB182" s="1" t="s">
        <v>35</v>
      </c>
      <c r="AC182" s="1" t="s">
        <v>35</v>
      </c>
      <c r="AD182" s="1" t="s">
        <v>35</v>
      </c>
      <c r="AE182" s="1" t="s">
        <v>1522</v>
      </c>
      <c r="AF182" s="1" t="s">
        <v>1523</v>
      </c>
    </row>
    <row r="183" spans="1:32" x14ac:dyDescent="0.25">
      <c r="A183" s="1" t="s">
        <v>65</v>
      </c>
      <c r="B183" s="1" t="s">
        <v>1524</v>
      </c>
      <c r="C183" s="1" t="s">
        <v>1525</v>
      </c>
      <c r="D183" s="1" t="s">
        <v>1526</v>
      </c>
      <c r="E183" s="24">
        <v>45894</v>
      </c>
      <c r="F183" s="2" t="s">
        <v>103</v>
      </c>
      <c r="G183" s="1" t="s">
        <v>194</v>
      </c>
      <c r="H183" s="1" t="s">
        <v>36</v>
      </c>
      <c r="I183" s="1" t="s">
        <v>37</v>
      </c>
      <c r="J183" s="1" t="s">
        <v>38</v>
      </c>
      <c r="K183" s="1" t="s">
        <v>55</v>
      </c>
      <c r="L183" s="1" t="s">
        <v>176</v>
      </c>
      <c r="M183" s="1" t="s">
        <v>177</v>
      </c>
      <c r="N183" s="1" t="s">
        <v>42</v>
      </c>
      <c r="O183" s="1" t="s">
        <v>43</v>
      </c>
      <c r="P183" s="1" t="s">
        <v>1199</v>
      </c>
      <c r="Q183" s="1" t="s">
        <v>42</v>
      </c>
      <c r="R183" s="1" t="s">
        <v>1527</v>
      </c>
      <c r="S183" s="1" t="s">
        <v>89</v>
      </c>
      <c r="T183" s="1" t="s">
        <v>60</v>
      </c>
      <c r="U183" s="1" t="s">
        <v>81</v>
      </c>
      <c r="V183" s="1" t="s">
        <v>1201</v>
      </c>
      <c r="W183" s="1" t="s">
        <v>35</v>
      </c>
      <c r="X183" s="1" t="s">
        <v>35</v>
      </c>
      <c r="Y183" s="1" t="s">
        <v>49</v>
      </c>
      <c r="Z183" s="1" t="s">
        <v>35</v>
      </c>
      <c r="AA183" s="1" t="s">
        <v>35</v>
      </c>
      <c r="AB183" s="1" t="s">
        <v>35</v>
      </c>
      <c r="AC183" s="1" t="s">
        <v>35</v>
      </c>
      <c r="AD183" s="1" t="s">
        <v>35</v>
      </c>
      <c r="AE183" s="1" t="s">
        <v>35</v>
      </c>
      <c r="AF183" s="1" t="s">
        <v>35</v>
      </c>
    </row>
    <row r="184" spans="1:32" x14ac:dyDescent="0.25">
      <c r="A184" s="1" t="s">
        <v>65</v>
      </c>
      <c r="B184" s="1" t="s">
        <v>1528</v>
      </c>
      <c r="C184" s="1" t="s">
        <v>1529</v>
      </c>
      <c r="D184" s="1" t="s">
        <v>1530</v>
      </c>
      <c r="E184" s="24">
        <v>45894</v>
      </c>
      <c r="F184" s="2" t="s">
        <v>103</v>
      </c>
      <c r="G184" s="1" t="s">
        <v>194</v>
      </c>
      <c r="H184" s="1" t="s">
        <v>36</v>
      </c>
      <c r="I184" s="1" t="s">
        <v>37</v>
      </c>
      <c r="J184" s="1" t="s">
        <v>38</v>
      </c>
      <c r="K184" s="1" t="s">
        <v>55</v>
      </c>
      <c r="L184" s="1" t="s">
        <v>176</v>
      </c>
      <c r="M184" s="1" t="s">
        <v>177</v>
      </c>
      <c r="N184" s="1" t="s">
        <v>42</v>
      </c>
      <c r="O184" s="1" t="s">
        <v>43</v>
      </c>
      <c r="P184" s="1" t="s">
        <v>1531</v>
      </c>
      <c r="Q184" s="1" t="s">
        <v>42</v>
      </c>
      <c r="R184" s="1" t="s">
        <v>1532</v>
      </c>
      <c r="S184" s="1" t="s">
        <v>45</v>
      </c>
      <c r="T184" s="1" t="s">
        <v>46</v>
      </c>
      <c r="U184" s="1" t="s">
        <v>81</v>
      </c>
      <c r="V184" s="1" t="s">
        <v>1533</v>
      </c>
      <c r="W184" s="1" t="s">
        <v>35</v>
      </c>
      <c r="X184" s="1" t="s">
        <v>35</v>
      </c>
      <c r="Y184" s="1" t="s">
        <v>49</v>
      </c>
      <c r="Z184" s="1" t="s">
        <v>35</v>
      </c>
      <c r="AA184" s="1" t="s">
        <v>35</v>
      </c>
      <c r="AB184" s="1" t="s">
        <v>35</v>
      </c>
      <c r="AC184" s="1" t="s">
        <v>35</v>
      </c>
      <c r="AD184" s="1" t="s">
        <v>35</v>
      </c>
      <c r="AE184" s="1" t="s">
        <v>35</v>
      </c>
      <c r="AF184" s="1" t="s">
        <v>35</v>
      </c>
    </row>
    <row r="185" spans="1:32" x14ac:dyDescent="0.25">
      <c r="A185" s="1" t="s">
        <v>65</v>
      </c>
      <c r="B185" s="1" t="s">
        <v>1534</v>
      </c>
      <c r="C185" s="1" t="s">
        <v>1535</v>
      </c>
      <c r="D185" s="1" t="s">
        <v>1536</v>
      </c>
      <c r="E185" s="24">
        <v>45895</v>
      </c>
      <c r="F185" s="2" t="s">
        <v>102</v>
      </c>
      <c r="G185" s="1" t="s">
        <v>54</v>
      </c>
      <c r="H185" s="1" t="s">
        <v>36</v>
      </c>
      <c r="I185" s="1" t="s">
        <v>37</v>
      </c>
      <c r="J185" s="1" t="s">
        <v>38</v>
      </c>
      <c r="K185" s="1" t="s">
        <v>55</v>
      </c>
      <c r="L185" s="1" t="s">
        <v>69</v>
      </c>
      <c r="M185" s="1" t="s">
        <v>56</v>
      </c>
      <c r="N185" s="1" t="s">
        <v>42</v>
      </c>
      <c r="O185" s="1" t="s">
        <v>43</v>
      </c>
      <c r="P185" s="1" t="s">
        <v>1144</v>
      </c>
      <c r="Q185" s="1" t="s">
        <v>42</v>
      </c>
      <c r="R185" s="1" t="s">
        <v>1537</v>
      </c>
      <c r="S185" s="1" t="s">
        <v>259</v>
      </c>
      <c r="T185" s="1" t="s">
        <v>60</v>
      </c>
      <c r="U185" s="1" t="s">
        <v>676</v>
      </c>
      <c r="V185" s="1" t="s">
        <v>1538</v>
      </c>
      <c r="W185" s="1" t="s">
        <v>35</v>
      </c>
      <c r="X185" s="1" t="s">
        <v>35</v>
      </c>
      <c r="Y185" s="1" t="s">
        <v>49</v>
      </c>
      <c r="Z185" s="1" t="s">
        <v>35</v>
      </c>
      <c r="AA185" s="1" t="s">
        <v>35</v>
      </c>
      <c r="AB185" s="1" t="s">
        <v>35</v>
      </c>
      <c r="AC185" s="1" t="s">
        <v>921</v>
      </c>
      <c r="AD185" s="1" t="s">
        <v>1539</v>
      </c>
      <c r="AE185" s="1" t="s">
        <v>1540</v>
      </c>
      <c r="AF185" s="1" t="s">
        <v>1541</v>
      </c>
    </row>
    <row r="186" spans="1:32" x14ac:dyDescent="0.25">
      <c r="A186" s="1" t="s">
        <v>65</v>
      </c>
      <c r="B186" s="1" t="s">
        <v>1542</v>
      </c>
      <c r="C186" s="1" t="s">
        <v>1543</v>
      </c>
      <c r="D186" s="1" t="s">
        <v>1544</v>
      </c>
      <c r="E186" s="24">
        <v>45895</v>
      </c>
      <c r="F186" s="2" t="s">
        <v>102</v>
      </c>
      <c r="G186" s="1" t="s">
        <v>54</v>
      </c>
      <c r="H186" s="1" t="s">
        <v>36</v>
      </c>
      <c r="I186" s="1" t="s">
        <v>37</v>
      </c>
      <c r="J186" s="1" t="s">
        <v>38</v>
      </c>
      <c r="K186" s="1" t="s">
        <v>55</v>
      </c>
      <c r="L186" s="1" t="s">
        <v>69</v>
      </c>
      <c r="M186" s="1" t="s">
        <v>56</v>
      </c>
      <c r="N186" s="1" t="s">
        <v>42</v>
      </c>
      <c r="O186" s="1" t="s">
        <v>43</v>
      </c>
      <c r="P186" s="1" t="s">
        <v>576</v>
      </c>
      <c r="Q186" s="1" t="s">
        <v>42</v>
      </c>
      <c r="R186" s="1" t="s">
        <v>1545</v>
      </c>
      <c r="S186" s="1" t="s">
        <v>45</v>
      </c>
      <c r="T186" s="1" t="s">
        <v>60</v>
      </c>
      <c r="U186" s="1" t="s">
        <v>757</v>
      </c>
      <c r="V186" s="1" t="s">
        <v>1546</v>
      </c>
      <c r="W186" s="1" t="s">
        <v>35</v>
      </c>
      <c r="X186" s="1" t="s">
        <v>35</v>
      </c>
      <c r="Y186" s="1" t="s">
        <v>49</v>
      </c>
      <c r="Z186" s="1" t="s">
        <v>35</v>
      </c>
      <c r="AA186" s="1" t="s">
        <v>35</v>
      </c>
      <c r="AB186" s="1" t="s">
        <v>35</v>
      </c>
      <c r="AC186" s="1" t="s">
        <v>1547</v>
      </c>
      <c r="AD186" s="1" t="s">
        <v>1548</v>
      </c>
      <c r="AE186" s="1" t="s">
        <v>1549</v>
      </c>
      <c r="AF186" s="1" t="s">
        <v>1550</v>
      </c>
    </row>
    <row r="187" spans="1:32" x14ac:dyDescent="0.25">
      <c r="A187" s="1" t="s">
        <v>50</v>
      </c>
      <c r="B187" s="1" t="s">
        <v>1551</v>
      </c>
      <c r="C187" s="1" t="s">
        <v>1552</v>
      </c>
      <c r="D187" s="1" t="s">
        <v>1553</v>
      </c>
      <c r="E187" s="24">
        <v>45895</v>
      </c>
      <c r="F187" s="2" t="s">
        <v>102</v>
      </c>
      <c r="G187" s="1" t="s">
        <v>194</v>
      </c>
      <c r="H187" s="1" t="s">
        <v>36</v>
      </c>
      <c r="I187" s="1" t="s">
        <v>37</v>
      </c>
      <c r="J187" s="1" t="s">
        <v>432</v>
      </c>
      <c r="K187" s="1" t="s">
        <v>55</v>
      </c>
      <c r="L187" s="1" t="s">
        <v>69</v>
      </c>
      <c r="M187" s="1" t="s">
        <v>1554</v>
      </c>
      <c r="N187" s="1" t="s">
        <v>42</v>
      </c>
      <c r="O187" s="1" t="s">
        <v>43</v>
      </c>
      <c r="P187" s="1" t="s">
        <v>1555</v>
      </c>
      <c r="Q187" s="1" t="s">
        <v>42</v>
      </c>
      <c r="R187" s="1" t="s">
        <v>1556</v>
      </c>
      <c r="S187" s="1" t="s">
        <v>259</v>
      </c>
      <c r="T187" s="1" t="s">
        <v>60</v>
      </c>
      <c r="U187" s="1" t="s">
        <v>81</v>
      </c>
      <c r="V187" s="1" t="s">
        <v>1557</v>
      </c>
      <c r="W187" s="1" t="s">
        <v>35</v>
      </c>
      <c r="X187" s="1" t="s">
        <v>35</v>
      </c>
      <c r="Y187" s="1" t="s">
        <v>49</v>
      </c>
      <c r="Z187" s="1" t="s">
        <v>35</v>
      </c>
      <c r="AA187" s="1" t="s">
        <v>35</v>
      </c>
      <c r="AB187" s="1" t="s">
        <v>35</v>
      </c>
      <c r="AC187" s="1" t="s">
        <v>35</v>
      </c>
      <c r="AD187" s="1" t="s">
        <v>35</v>
      </c>
      <c r="AE187" s="1" t="s">
        <v>1558</v>
      </c>
      <c r="AF187" s="1" t="s">
        <v>1559</v>
      </c>
    </row>
    <row r="188" spans="1:32" x14ac:dyDescent="0.25">
      <c r="A188" s="1" t="s">
        <v>50</v>
      </c>
      <c r="B188" s="1" t="s">
        <v>1560</v>
      </c>
      <c r="C188" s="1" t="s">
        <v>1561</v>
      </c>
      <c r="D188" s="1" t="s">
        <v>1562</v>
      </c>
      <c r="E188" s="24">
        <v>45895</v>
      </c>
      <c r="F188" s="2" t="s">
        <v>103</v>
      </c>
      <c r="G188" s="1" t="s">
        <v>54</v>
      </c>
      <c r="H188" s="1" t="s">
        <v>36</v>
      </c>
      <c r="I188" s="1" t="s">
        <v>37</v>
      </c>
      <c r="J188" s="1" t="s">
        <v>38</v>
      </c>
      <c r="K188" s="1" t="s">
        <v>55</v>
      </c>
      <c r="L188" s="1" t="s">
        <v>176</v>
      </c>
      <c r="M188" s="1" t="s">
        <v>1009</v>
      </c>
      <c r="N188" s="1" t="s">
        <v>42</v>
      </c>
      <c r="O188" s="1" t="s">
        <v>43</v>
      </c>
      <c r="P188" s="1" t="s">
        <v>1563</v>
      </c>
      <c r="Q188" s="1" t="s">
        <v>42</v>
      </c>
      <c r="R188" s="1" t="s">
        <v>1564</v>
      </c>
      <c r="S188" s="1" t="s">
        <v>122</v>
      </c>
      <c r="T188" s="1" t="s">
        <v>46</v>
      </c>
      <c r="U188" s="1" t="s">
        <v>81</v>
      </c>
      <c r="V188" s="1" t="s">
        <v>1565</v>
      </c>
      <c r="W188" s="1" t="s">
        <v>35</v>
      </c>
      <c r="X188" s="1" t="s">
        <v>35</v>
      </c>
      <c r="Y188" s="1" t="s">
        <v>49</v>
      </c>
      <c r="Z188" s="1" t="s">
        <v>35</v>
      </c>
      <c r="AA188" s="1" t="s">
        <v>35</v>
      </c>
      <c r="AB188" s="1" t="s">
        <v>35</v>
      </c>
      <c r="AC188" s="1" t="s">
        <v>35</v>
      </c>
      <c r="AD188" s="1" t="s">
        <v>35</v>
      </c>
      <c r="AE188" s="1" t="s">
        <v>1566</v>
      </c>
      <c r="AF188" s="1" t="s">
        <v>1567</v>
      </c>
    </row>
    <row r="189" spans="1:32" x14ac:dyDescent="0.25">
      <c r="A189" s="1" t="s">
        <v>65</v>
      </c>
      <c r="B189" s="1" t="s">
        <v>1568</v>
      </c>
      <c r="C189" s="1" t="s">
        <v>1569</v>
      </c>
      <c r="D189" s="1" t="s">
        <v>1570</v>
      </c>
      <c r="E189" s="24">
        <v>45896</v>
      </c>
      <c r="F189" s="2" t="s">
        <v>102</v>
      </c>
      <c r="G189" s="1" t="s">
        <v>54</v>
      </c>
      <c r="H189" s="1" t="s">
        <v>36</v>
      </c>
      <c r="I189" s="1" t="s">
        <v>37</v>
      </c>
      <c r="J189" s="1" t="s">
        <v>38</v>
      </c>
      <c r="K189" s="1" t="s">
        <v>55</v>
      </c>
      <c r="L189" s="1" t="s">
        <v>69</v>
      </c>
      <c r="M189" s="1" t="s">
        <v>56</v>
      </c>
      <c r="N189" s="1" t="s">
        <v>42</v>
      </c>
      <c r="O189" s="1" t="s">
        <v>43</v>
      </c>
      <c r="P189" s="1" t="s">
        <v>1144</v>
      </c>
      <c r="Q189" s="1" t="s">
        <v>42</v>
      </c>
      <c r="R189" s="1" t="s">
        <v>1571</v>
      </c>
      <c r="S189" s="1" t="s">
        <v>111</v>
      </c>
      <c r="T189" s="1" t="s">
        <v>60</v>
      </c>
      <c r="U189" s="1" t="s">
        <v>61</v>
      </c>
      <c r="V189" s="1" t="s">
        <v>1572</v>
      </c>
      <c r="W189" s="1" t="s">
        <v>35</v>
      </c>
      <c r="X189" s="1" t="s">
        <v>35</v>
      </c>
      <c r="Y189" s="1" t="s">
        <v>49</v>
      </c>
      <c r="Z189" s="1" t="s">
        <v>35</v>
      </c>
      <c r="AA189" s="1" t="s">
        <v>35</v>
      </c>
      <c r="AB189" s="1" t="s">
        <v>35</v>
      </c>
      <c r="AC189" s="1" t="s">
        <v>1547</v>
      </c>
      <c r="AD189" s="1" t="s">
        <v>1573</v>
      </c>
      <c r="AE189" s="1" t="s">
        <v>1574</v>
      </c>
      <c r="AF189" s="1" t="s">
        <v>1575</v>
      </c>
    </row>
    <row r="190" spans="1:32" x14ac:dyDescent="0.25">
      <c r="A190" s="1" t="s">
        <v>65</v>
      </c>
      <c r="B190" s="1" t="s">
        <v>1576</v>
      </c>
      <c r="C190" s="1" t="s">
        <v>1577</v>
      </c>
      <c r="D190" s="1" t="s">
        <v>1578</v>
      </c>
      <c r="E190" s="24">
        <v>45896</v>
      </c>
      <c r="F190" s="2" t="s">
        <v>102</v>
      </c>
      <c r="G190" s="1" t="s">
        <v>54</v>
      </c>
      <c r="H190" s="1" t="s">
        <v>36</v>
      </c>
      <c r="I190" s="1" t="s">
        <v>37</v>
      </c>
      <c r="J190" s="1" t="s">
        <v>38</v>
      </c>
      <c r="K190" s="1" t="s">
        <v>55</v>
      </c>
      <c r="L190" s="1" t="s">
        <v>69</v>
      </c>
      <c r="M190" s="1" t="s">
        <v>56</v>
      </c>
      <c r="N190" s="1" t="s">
        <v>42</v>
      </c>
      <c r="O190" s="1" t="s">
        <v>43</v>
      </c>
      <c r="P190" s="1" t="s">
        <v>1144</v>
      </c>
      <c r="Q190" s="1" t="s">
        <v>42</v>
      </c>
      <c r="R190" s="1" t="s">
        <v>1579</v>
      </c>
      <c r="S190" s="1" t="s">
        <v>675</v>
      </c>
      <c r="T190" s="1" t="s">
        <v>60</v>
      </c>
      <c r="U190" s="1" t="s">
        <v>676</v>
      </c>
      <c r="V190" s="1" t="s">
        <v>1580</v>
      </c>
      <c r="W190" s="1" t="s">
        <v>35</v>
      </c>
      <c r="X190" s="1" t="s">
        <v>35</v>
      </c>
      <c r="Y190" s="1" t="s">
        <v>49</v>
      </c>
      <c r="Z190" s="1" t="s">
        <v>35</v>
      </c>
      <c r="AA190" s="1" t="s">
        <v>35</v>
      </c>
      <c r="AB190" s="1" t="s">
        <v>35</v>
      </c>
      <c r="AC190" s="1" t="s">
        <v>1547</v>
      </c>
      <c r="AD190" s="1" t="s">
        <v>1548</v>
      </c>
      <c r="AE190" s="1" t="s">
        <v>1581</v>
      </c>
      <c r="AF190" s="1" t="s">
        <v>1582</v>
      </c>
    </row>
    <row r="191" spans="1:32" x14ac:dyDescent="0.25">
      <c r="A191" s="1" t="s">
        <v>65</v>
      </c>
      <c r="B191" s="1" t="s">
        <v>1583</v>
      </c>
      <c r="C191" s="1" t="s">
        <v>1584</v>
      </c>
      <c r="D191" s="1" t="s">
        <v>1585</v>
      </c>
      <c r="E191" s="24">
        <v>45896</v>
      </c>
      <c r="F191" s="2" t="s">
        <v>102</v>
      </c>
      <c r="G191" s="1" t="s">
        <v>54</v>
      </c>
      <c r="H191" s="1" t="s">
        <v>36</v>
      </c>
      <c r="I191" s="1" t="s">
        <v>37</v>
      </c>
      <c r="J191" s="1" t="s">
        <v>38</v>
      </c>
      <c r="K191" s="1" t="s">
        <v>55</v>
      </c>
      <c r="L191" s="1" t="s">
        <v>176</v>
      </c>
      <c r="M191" s="1" t="s">
        <v>56</v>
      </c>
      <c r="N191" s="1" t="s">
        <v>42</v>
      </c>
      <c r="O191" s="1" t="s">
        <v>43</v>
      </c>
      <c r="P191" s="1" t="s">
        <v>1035</v>
      </c>
      <c r="Q191" s="1" t="s">
        <v>42</v>
      </c>
      <c r="R191" s="1" t="s">
        <v>1460</v>
      </c>
      <c r="S191" s="1" t="s">
        <v>89</v>
      </c>
      <c r="T191" s="1" t="s">
        <v>60</v>
      </c>
      <c r="U191" s="1" t="s">
        <v>2258</v>
      </c>
      <c r="V191" s="1" t="s">
        <v>1586</v>
      </c>
      <c r="W191" s="1" t="s">
        <v>35</v>
      </c>
      <c r="X191" s="1" t="s">
        <v>35</v>
      </c>
      <c r="Y191" s="1" t="s">
        <v>49</v>
      </c>
      <c r="Z191" s="1" t="s">
        <v>35</v>
      </c>
      <c r="AA191" s="1" t="s">
        <v>35</v>
      </c>
      <c r="AB191" s="1" t="s">
        <v>35</v>
      </c>
      <c r="AC191" s="1" t="s">
        <v>1547</v>
      </c>
      <c r="AD191" s="1" t="s">
        <v>1587</v>
      </c>
      <c r="AE191" s="1" t="s">
        <v>1588</v>
      </c>
      <c r="AF191" s="1" t="s">
        <v>1589</v>
      </c>
    </row>
    <row r="192" spans="1:32" x14ac:dyDescent="0.25">
      <c r="A192" s="1" t="s">
        <v>65</v>
      </c>
      <c r="B192" s="1" t="s">
        <v>1590</v>
      </c>
      <c r="C192" s="1" t="s">
        <v>1591</v>
      </c>
      <c r="D192" s="1" t="s">
        <v>1592</v>
      </c>
      <c r="E192" s="24">
        <v>45896</v>
      </c>
      <c r="F192" s="2" t="s">
        <v>103</v>
      </c>
      <c r="G192" s="1" t="s">
        <v>54</v>
      </c>
      <c r="H192" s="1" t="s">
        <v>36</v>
      </c>
      <c r="I192" s="1" t="s">
        <v>37</v>
      </c>
      <c r="J192" s="1" t="s">
        <v>38</v>
      </c>
      <c r="K192" s="1" t="s">
        <v>55</v>
      </c>
      <c r="L192" s="1" t="s">
        <v>69</v>
      </c>
      <c r="M192" s="1" t="s">
        <v>56</v>
      </c>
      <c r="N192" s="1" t="s">
        <v>42</v>
      </c>
      <c r="O192" s="1" t="s">
        <v>43</v>
      </c>
      <c r="P192" s="1" t="s">
        <v>195</v>
      </c>
      <c r="Q192" s="1" t="s">
        <v>42</v>
      </c>
      <c r="R192" s="1" t="s">
        <v>1593</v>
      </c>
      <c r="S192" s="1" t="s">
        <v>746</v>
      </c>
      <c r="T192" s="1" t="s">
        <v>60</v>
      </c>
      <c r="U192" s="1" t="s">
        <v>145</v>
      </c>
      <c r="V192" s="1" t="s">
        <v>1594</v>
      </c>
      <c r="W192" s="1" t="s">
        <v>35</v>
      </c>
      <c r="X192" s="1" t="s">
        <v>35</v>
      </c>
      <c r="Y192" s="1" t="s">
        <v>49</v>
      </c>
      <c r="Z192" s="1" t="s">
        <v>35</v>
      </c>
      <c r="AA192" s="1" t="s">
        <v>35</v>
      </c>
      <c r="AB192" s="1" t="s">
        <v>35</v>
      </c>
      <c r="AC192" s="1" t="s">
        <v>587</v>
      </c>
      <c r="AD192" s="1" t="s">
        <v>1595</v>
      </c>
      <c r="AE192" s="1" t="s">
        <v>1596</v>
      </c>
      <c r="AF192" s="1" t="s">
        <v>1597</v>
      </c>
    </row>
    <row r="193" spans="1:32" x14ac:dyDescent="0.25">
      <c r="A193" s="1" t="s">
        <v>105</v>
      </c>
      <c r="B193" s="1" t="s">
        <v>1598</v>
      </c>
      <c r="C193" s="1" t="s">
        <v>1599</v>
      </c>
      <c r="D193" s="1" t="s">
        <v>1600</v>
      </c>
      <c r="E193" s="24">
        <v>45896</v>
      </c>
      <c r="F193" s="2" t="s">
        <v>1689</v>
      </c>
      <c r="G193" s="1" t="s">
        <v>54</v>
      </c>
      <c r="H193" s="1" t="s">
        <v>36</v>
      </c>
      <c r="I193" s="1" t="s">
        <v>37</v>
      </c>
      <c r="J193" s="1" t="s">
        <v>38</v>
      </c>
      <c r="K193" s="1" t="s">
        <v>55</v>
      </c>
      <c r="L193" s="1" t="s">
        <v>242</v>
      </c>
      <c r="M193" s="1" t="s">
        <v>119</v>
      </c>
      <c r="N193" s="1" t="s">
        <v>42</v>
      </c>
      <c r="O193" s="1" t="s">
        <v>43</v>
      </c>
      <c r="P193" s="1" t="s">
        <v>243</v>
      </c>
      <c r="Q193" s="1" t="s">
        <v>42</v>
      </c>
      <c r="R193" s="1" t="s">
        <v>1601</v>
      </c>
      <c r="S193" s="1" t="s">
        <v>259</v>
      </c>
      <c r="T193" s="1" t="s">
        <v>60</v>
      </c>
      <c r="U193" s="1" t="s">
        <v>112</v>
      </c>
      <c r="V193" s="1" t="s">
        <v>1602</v>
      </c>
      <c r="W193" s="1" t="s">
        <v>35</v>
      </c>
      <c r="X193" s="1" t="s">
        <v>35</v>
      </c>
      <c r="Y193" s="1" t="s">
        <v>49</v>
      </c>
      <c r="Z193" s="1" t="s">
        <v>35</v>
      </c>
      <c r="AA193" s="1" t="s">
        <v>35</v>
      </c>
      <c r="AB193" s="1" t="s">
        <v>35</v>
      </c>
      <c r="AC193" s="1" t="s">
        <v>1603</v>
      </c>
      <c r="AD193" s="1" t="s">
        <v>1604</v>
      </c>
      <c r="AE193" s="1" t="s">
        <v>1605</v>
      </c>
      <c r="AF193" s="1" t="s">
        <v>1606</v>
      </c>
    </row>
    <row r="194" spans="1:32" x14ac:dyDescent="0.25">
      <c r="A194" s="1" t="s">
        <v>65</v>
      </c>
      <c r="B194" s="1" t="s">
        <v>1607</v>
      </c>
      <c r="C194" s="1" t="s">
        <v>1608</v>
      </c>
      <c r="D194" s="1" t="s">
        <v>1609</v>
      </c>
      <c r="E194" s="24">
        <v>45900</v>
      </c>
      <c r="F194" s="2" t="s">
        <v>102</v>
      </c>
      <c r="G194" s="1" t="s">
        <v>54</v>
      </c>
      <c r="H194" s="1" t="s">
        <v>36</v>
      </c>
      <c r="I194" s="1" t="s">
        <v>37</v>
      </c>
      <c r="J194" s="1" t="s">
        <v>38</v>
      </c>
      <c r="K194" s="1" t="s">
        <v>55</v>
      </c>
      <c r="L194" s="1" t="s">
        <v>69</v>
      </c>
      <c r="M194" s="1" t="s">
        <v>56</v>
      </c>
      <c r="N194" s="1" t="s">
        <v>42</v>
      </c>
      <c r="O194" s="1" t="s">
        <v>43</v>
      </c>
      <c r="P194" s="1" t="s">
        <v>1144</v>
      </c>
      <c r="Q194" s="1" t="s">
        <v>42</v>
      </c>
      <c r="R194" s="1" t="s">
        <v>1610</v>
      </c>
      <c r="S194" s="1" t="s">
        <v>80</v>
      </c>
      <c r="T194" s="1" t="s">
        <v>60</v>
      </c>
      <c r="U194" s="1" t="s">
        <v>1316</v>
      </c>
      <c r="V194" s="1" t="s">
        <v>1611</v>
      </c>
      <c r="W194" s="1" t="s">
        <v>35</v>
      </c>
      <c r="X194" s="1" t="s">
        <v>35</v>
      </c>
      <c r="Y194" s="1" t="s">
        <v>49</v>
      </c>
      <c r="Z194" s="1" t="s">
        <v>35</v>
      </c>
      <c r="AA194" s="1" t="s">
        <v>35</v>
      </c>
      <c r="AB194" s="1" t="s">
        <v>35</v>
      </c>
      <c r="AC194" s="1" t="s">
        <v>35</v>
      </c>
      <c r="AD194" s="1" t="s">
        <v>35</v>
      </c>
      <c r="AE194" s="1" t="s">
        <v>1612</v>
      </c>
      <c r="AF194" s="1" t="s">
        <v>1613</v>
      </c>
    </row>
    <row r="195" spans="1:32" x14ac:dyDescent="0.25">
      <c r="A195" s="1" t="s">
        <v>65</v>
      </c>
      <c r="B195" s="1" t="s">
        <v>1614</v>
      </c>
      <c r="C195" s="1" t="s">
        <v>1615</v>
      </c>
      <c r="D195" s="1" t="s">
        <v>1616</v>
      </c>
      <c r="E195" s="24">
        <v>45900</v>
      </c>
      <c r="F195" s="2" t="s">
        <v>102</v>
      </c>
      <c r="G195" s="1" t="s">
        <v>54</v>
      </c>
      <c r="H195" s="1" t="s">
        <v>36</v>
      </c>
      <c r="I195" s="1" t="s">
        <v>37</v>
      </c>
      <c r="J195" s="1" t="s">
        <v>38</v>
      </c>
      <c r="K195" s="1" t="s">
        <v>55</v>
      </c>
      <c r="L195" s="1" t="s">
        <v>69</v>
      </c>
      <c r="M195" s="1" t="s">
        <v>56</v>
      </c>
      <c r="N195" s="1" t="s">
        <v>42</v>
      </c>
      <c r="O195" s="1" t="s">
        <v>43</v>
      </c>
      <c r="P195" s="1" t="s">
        <v>212</v>
      </c>
      <c r="Q195" s="1" t="s">
        <v>42</v>
      </c>
      <c r="R195" s="1" t="s">
        <v>919</v>
      </c>
      <c r="S195" s="1" t="s">
        <v>667</v>
      </c>
      <c r="T195" s="1" t="s">
        <v>60</v>
      </c>
      <c r="U195" s="1" t="s">
        <v>61</v>
      </c>
      <c r="V195" s="1" t="s">
        <v>1617</v>
      </c>
      <c r="W195" s="1" t="s">
        <v>35</v>
      </c>
      <c r="X195" s="1" t="s">
        <v>35</v>
      </c>
      <c r="Y195" s="1" t="s">
        <v>49</v>
      </c>
      <c r="Z195" s="1" t="s">
        <v>35</v>
      </c>
      <c r="AA195" s="1" t="s">
        <v>35</v>
      </c>
      <c r="AB195" s="1" t="s">
        <v>35</v>
      </c>
      <c r="AC195" s="1" t="s">
        <v>35</v>
      </c>
      <c r="AD195" s="1" t="s">
        <v>35</v>
      </c>
      <c r="AE195" s="1" t="s">
        <v>1618</v>
      </c>
      <c r="AF195" s="1" t="s">
        <v>1619</v>
      </c>
    </row>
    <row r="196" spans="1:32" x14ac:dyDescent="0.25">
      <c r="A196" s="1" t="s">
        <v>65</v>
      </c>
      <c r="B196" s="1" t="s">
        <v>1620</v>
      </c>
      <c r="C196" s="1" t="s">
        <v>1621</v>
      </c>
      <c r="D196" s="1" t="s">
        <v>1622</v>
      </c>
      <c r="E196" s="24">
        <v>45900</v>
      </c>
      <c r="F196" s="2" t="s">
        <v>102</v>
      </c>
      <c r="G196" s="1" t="s">
        <v>54</v>
      </c>
      <c r="H196" s="1" t="s">
        <v>36</v>
      </c>
      <c r="I196" s="1" t="s">
        <v>37</v>
      </c>
      <c r="J196" s="1" t="s">
        <v>38</v>
      </c>
      <c r="K196" s="1" t="s">
        <v>55</v>
      </c>
      <c r="L196" s="1" t="s">
        <v>69</v>
      </c>
      <c r="M196" s="1" t="s">
        <v>56</v>
      </c>
      <c r="N196" s="1" t="s">
        <v>42</v>
      </c>
      <c r="O196" s="1" t="s">
        <v>43</v>
      </c>
      <c r="P196" s="1" t="s">
        <v>1144</v>
      </c>
      <c r="Q196" s="1" t="s">
        <v>42</v>
      </c>
      <c r="R196" s="1" t="s">
        <v>1623</v>
      </c>
      <c r="S196" s="1" t="s">
        <v>80</v>
      </c>
      <c r="T196" s="1" t="s">
        <v>60</v>
      </c>
      <c r="U196" s="1" t="s">
        <v>838</v>
      </c>
      <c r="V196" s="1" t="s">
        <v>1624</v>
      </c>
      <c r="W196" s="1" t="s">
        <v>35</v>
      </c>
      <c r="X196" s="1" t="s">
        <v>35</v>
      </c>
      <c r="Y196" s="1" t="s">
        <v>49</v>
      </c>
      <c r="Z196" s="1" t="s">
        <v>35</v>
      </c>
      <c r="AA196" s="1" t="s">
        <v>35</v>
      </c>
      <c r="AB196" s="1" t="s">
        <v>35</v>
      </c>
      <c r="AC196" s="1" t="s">
        <v>35</v>
      </c>
      <c r="AD196" s="1" t="s">
        <v>35</v>
      </c>
      <c r="AE196" s="1" t="s">
        <v>1625</v>
      </c>
      <c r="AF196" s="1" t="s">
        <v>1626</v>
      </c>
    </row>
    <row r="197" spans="1:32" x14ac:dyDescent="0.25">
      <c r="A197" s="1" t="s">
        <v>65</v>
      </c>
      <c r="B197" s="1" t="s">
        <v>1627</v>
      </c>
      <c r="C197" s="1" t="s">
        <v>1628</v>
      </c>
      <c r="D197" s="1" t="s">
        <v>1629</v>
      </c>
      <c r="E197" s="24">
        <v>45900</v>
      </c>
      <c r="F197" s="2" t="s">
        <v>102</v>
      </c>
      <c r="G197" s="1" t="s">
        <v>54</v>
      </c>
      <c r="H197" s="1" t="s">
        <v>36</v>
      </c>
      <c r="I197" s="1" t="s">
        <v>37</v>
      </c>
      <c r="J197" s="1" t="s">
        <v>38</v>
      </c>
      <c r="K197" s="1" t="s">
        <v>55</v>
      </c>
      <c r="L197" s="1" t="s">
        <v>69</v>
      </c>
      <c r="M197" s="1" t="s">
        <v>56</v>
      </c>
      <c r="N197" s="1" t="s">
        <v>42</v>
      </c>
      <c r="O197" s="1" t="s">
        <v>43</v>
      </c>
      <c r="P197" s="1" t="s">
        <v>1144</v>
      </c>
      <c r="Q197" s="1" t="s">
        <v>42</v>
      </c>
      <c r="R197" s="1" t="s">
        <v>1630</v>
      </c>
      <c r="S197" s="1" t="s">
        <v>89</v>
      </c>
      <c r="T197" s="1" t="s">
        <v>60</v>
      </c>
      <c r="U197" s="1" t="s">
        <v>1499</v>
      </c>
      <c r="V197" s="1" t="s">
        <v>1631</v>
      </c>
      <c r="W197" s="1" t="s">
        <v>35</v>
      </c>
      <c r="X197" s="1" t="s">
        <v>35</v>
      </c>
      <c r="Y197" s="1" t="s">
        <v>49</v>
      </c>
      <c r="Z197" s="1" t="s">
        <v>35</v>
      </c>
      <c r="AA197" s="1" t="s">
        <v>35</v>
      </c>
      <c r="AB197" s="1" t="s">
        <v>35</v>
      </c>
      <c r="AC197" s="1" t="s">
        <v>35</v>
      </c>
      <c r="AD197" s="1" t="s">
        <v>35</v>
      </c>
      <c r="AE197" s="1" t="s">
        <v>1632</v>
      </c>
      <c r="AF197" s="1" t="s">
        <v>1633</v>
      </c>
    </row>
    <row r="198" spans="1:32" x14ac:dyDescent="0.25">
      <c r="A198" s="1" t="s">
        <v>65</v>
      </c>
      <c r="B198" s="1" t="s">
        <v>1634</v>
      </c>
      <c r="C198" s="1" t="s">
        <v>1635</v>
      </c>
      <c r="D198" s="1" t="s">
        <v>1636</v>
      </c>
      <c r="E198" s="24">
        <v>45901</v>
      </c>
      <c r="F198" s="2" t="s">
        <v>102</v>
      </c>
      <c r="G198" s="1" t="s">
        <v>35</v>
      </c>
      <c r="H198" s="1" t="s">
        <v>36</v>
      </c>
      <c r="I198" s="1" t="s">
        <v>37</v>
      </c>
      <c r="J198" s="1" t="s">
        <v>38</v>
      </c>
      <c r="K198" s="1" t="s">
        <v>55</v>
      </c>
      <c r="L198" s="1" t="s">
        <v>432</v>
      </c>
      <c r="M198" s="1" t="s">
        <v>1144</v>
      </c>
      <c r="N198" s="1" t="s">
        <v>42</v>
      </c>
      <c r="O198" s="1" t="s">
        <v>43</v>
      </c>
      <c r="P198" s="1" t="s">
        <v>1459</v>
      </c>
      <c r="Q198" s="1" t="s">
        <v>42</v>
      </c>
      <c r="R198" s="1" t="s">
        <v>1637</v>
      </c>
      <c r="S198" s="1" t="s">
        <v>135</v>
      </c>
      <c r="T198" s="1" t="s">
        <v>60</v>
      </c>
      <c r="U198" s="1" t="s">
        <v>757</v>
      </c>
      <c r="V198" s="1" t="s">
        <v>1638</v>
      </c>
      <c r="W198" s="1" t="s">
        <v>35</v>
      </c>
      <c r="X198" s="1" t="s">
        <v>35</v>
      </c>
      <c r="Y198" s="1" t="s">
        <v>49</v>
      </c>
      <c r="Z198" s="1" t="s">
        <v>35</v>
      </c>
      <c r="AA198" s="1" t="s">
        <v>35</v>
      </c>
      <c r="AB198" s="1" t="s">
        <v>35</v>
      </c>
      <c r="AC198" s="1" t="s">
        <v>35</v>
      </c>
      <c r="AD198" s="1" t="s">
        <v>35</v>
      </c>
      <c r="AE198" s="1" t="s">
        <v>35</v>
      </c>
      <c r="AF198" s="1" t="s">
        <v>35</v>
      </c>
    </row>
    <row r="199" spans="1:32" x14ac:dyDescent="0.25">
      <c r="A199" s="1" t="s">
        <v>65</v>
      </c>
      <c r="B199" s="1" t="s">
        <v>1639</v>
      </c>
      <c r="C199" s="1" t="s">
        <v>1640</v>
      </c>
      <c r="D199" s="1" t="s">
        <v>1641</v>
      </c>
      <c r="E199" s="24">
        <v>45901</v>
      </c>
      <c r="F199" s="2" t="s">
        <v>102</v>
      </c>
      <c r="G199" s="1" t="s">
        <v>54</v>
      </c>
      <c r="H199" s="1" t="s">
        <v>36</v>
      </c>
      <c r="I199" s="1" t="s">
        <v>37</v>
      </c>
      <c r="J199" s="1" t="s">
        <v>38</v>
      </c>
      <c r="K199" s="1" t="s">
        <v>55</v>
      </c>
      <c r="L199" s="1" t="s">
        <v>176</v>
      </c>
      <c r="M199" s="1" t="s">
        <v>56</v>
      </c>
      <c r="N199" s="1" t="s">
        <v>42</v>
      </c>
      <c r="O199" s="1" t="s">
        <v>43</v>
      </c>
      <c r="P199" s="1" t="s">
        <v>1642</v>
      </c>
      <c r="Q199" s="1" t="s">
        <v>1643</v>
      </c>
      <c r="R199" s="1" t="s">
        <v>1429</v>
      </c>
      <c r="S199" s="1" t="s">
        <v>675</v>
      </c>
      <c r="T199" s="1" t="s">
        <v>60</v>
      </c>
      <c r="U199" s="1" t="s">
        <v>410</v>
      </c>
      <c r="V199" s="1" t="s">
        <v>1644</v>
      </c>
      <c r="W199" s="1" t="s">
        <v>35</v>
      </c>
      <c r="X199" s="1" t="s">
        <v>35</v>
      </c>
      <c r="Y199" s="1" t="s">
        <v>49</v>
      </c>
      <c r="Z199" s="1" t="s">
        <v>35</v>
      </c>
      <c r="AA199" s="1" t="s">
        <v>35</v>
      </c>
      <c r="AB199" s="1" t="s">
        <v>35</v>
      </c>
      <c r="AC199" s="1" t="s">
        <v>921</v>
      </c>
      <c r="AD199" s="1" t="s">
        <v>1645</v>
      </c>
      <c r="AE199" s="1" t="s">
        <v>1646</v>
      </c>
      <c r="AF199" s="1" t="s">
        <v>1647</v>
      </c>
    </row>
    <row r="200" spans="1:32" x14ac:dyDescent="0.25">
      <c r="A200" s="1" t="s">
        <v>65</v>
      </c>
      <c r="B200" s="1" t="s">
        <v>1648</v>
      </c>
      <c r="C200" s="1" t="s">
        <v>1649</v>
      </c>
      <c r="D200" s="1" t="s">
        <v>1650</v>
      </c>
      <c r="E200" s="24">
        <v>45901</v>
      </c>
      <c r="F200" s="2" t="s">
        <v>102</v>
      </c>
      <c r="G200" s="1" t="s">
        <v>54</v>
      </c>
      <c r="H200" s="1" t="s">
        <v>36</v>
      </c>
      <c r="I200" s="1" t="s">
        <v>37</v>
      </c>
      <c r="J200" s="1" t="s">
        <v>38</v>
      </c>
      <c r="K200" s="1" t="s">
        <v>55</v>
      </c>
      <c r="L200" s="1" t="s">
        <v>176</v>
      </c>
      <c r="M200" s="1" t="s">
        <v>56</v>
      </c>
      <c r="N200" s="1" t="s">
        <v>42</v>
      </c>
      <c r="O200" s="1" t="s">
        <v>43</v>
      </c>
      <c r="P200" s="1" t="s">
        <v>1144</v>
      </c>
      <c r="Q200" s="1" t="s">
        <v>42</v>
      </c>
      <c r="R200" s="1" t="s">
        <v>1651</v>
      </c>
      <c r="S200" s="1" t="s">
        <v>89</v>
      </c>
      <c r="T200" s="1" t="s">
        <v>60</v>
      </c>
      <c r="U200" s="1" t="s">
        <v>410</v>
      </c>
      <c r="V200" s="1" t="s">
        <v>1652</v>
      </c>
      <c r="W200" s="1" t="s">
        <v>35</v>
      </c>
      <c r="X200" s="1" t="s">
        <v>35</v>
      </c>
      <c r="Y200" s="1" t="s">
        <v>49</v>
      </c>
      <c r="Z200" s="1" t="s">
        <v>35</v>
      </c>
      <c r="AA200" s="1" t="s">
        <v>35</v>
      </c>
      <c r="AB200" s="1" t="s">
        <v>35</v>
      </c>
      <c r="AC200" s="1" t="s">
        <v>1547</v>
      </c>
      <c r="AD200" s="1" t="s">
        <v>1539</v>
      </c>
      <c r="AE200" s="1" t="s">
        <v>1653</v>
      </c>
      <c r="AF200" s="1" t="s">
        <v>1654</v>
      </c>
    </row>
    <row r="201" spans="1:32" x14ac:dyDescent="0.25">
      <c r="A201" s="1" t="s">
        <v>50</v>
      </c>
      <c r="B201" s="1" t="s">
        <v>1655</v>
      </c>
      <c r="C201" s="1" t="s">
        <v>1656</v>
      </c>
      <c r="D201" s="1" t="s">
        <v>1657</v>
      </c>
      <c r="E201" s="24">
        <v>45901</v>
      </c>
      <c r="F201" s="2" t="s">
        <v>103</v>
      </c>
      <c r="G201" s="1" t="s">
        <v>302</v>
      </c>
      <c r="H201" s="1" t="s">
        <v>36</v>
      </c>
      <c r="I201" s="1" t="s">
        <v>37</v>
      </c>
      <c r="J201" s="1" t="s">
        <v>38</v>
      </c>
      <c r="K201" s="1" t="s">
        <v>55</v>
      </c>
      <c r="L201" s="1" t="s">
        <v>242</v>
      </c>
      <c r="M201" s="1" t="s">
        <v>835</v>
      </c>
      <c r="N201" s="1" t="s">
        <v>42</v>
      </c>
      <c r="O201" s="1" t="s">
        <v>43</v>
      </c>
      <c r="P201" s="1" t="s">
        <v>835</v>
      </c>
      <c r="Q201" s="1" t="s">
        <v>42</v>
      </c>
      <c r="R201" s="1" t="s">
        <v>1658</v>
      </c>
      <c r="S201" s="1" t="s">
        <v>1659</v>
      </c>
      <c r="T201" s="1" t="s">
        <v>46</v>
      </c>
      <c r="U201" s="1" t="s">
        <v>1660</v>
      </c>
      <c r="V201" s="1" t="s">
        <v>1661</v>
      </c>
      <c r="W201" s="1" t="s">
        <v>35</v>
      </c>
      <c r="X201" s="1" t="s">
        <v>35</v>
      </c>
      <c r="Y201" s="1" t="s">
        <v>49</v>
      </c>
      <c r="Z201" s="1" t="s">
        <v>35</v>
      </c>
      <c r="AA201" s="1" t="s">
        <v>35</v>
      </c>
      <c r="AB201" s="1" t="s">
        <v>35</v>
      </c>
      <c r="AC201" s="1" t="s">
        <v>35</v>
      </c>
      <c r="AD201" s="1" t="s">
        <v>35</v>
      </c>
      <c r="AE201" s="1" t="s">
        <v>1662</v>
      </c>
      <c r="AF201" s="1" t="s">
        <v>1663</v>
      </c>
    </row>
    <row r="202" spans="1:32" x14ac:dyDescent="0.25">
      <c r="A202" s="1" t="s">
        <v>65</v>
      </c>
      <c r="B202" s="1" t="s">
        <v>1664</v>
      </c>
      <c r="C202" s="1" t="s">
        <v>1665</v>
      </c>
      <c r="D202" s="1" t="s">
        <v>1666</v>
      </c>
      <c r="E202" s="24">
        <v>45903</v>
      </c>
      <c r="F202" s="2" t="s">
        <v>102</v>
      </c>
      <c r="G202" s="1" t="s">
        <v>35</v>
      </c>
      <c r="H202" s="1" t="s">
        <v>36</v>
      </c>
      <c r="I202" s="1" t="s">
        <v>37</v>
      </c>
      <c r="J202" s="1" t="s">
        <v>38</v>
      </c>
      <c r="K202" s="1" t="s">
        <v>55</v>
      </c>
      <c r="L202" s="1" t="s">
        <v>432</v>
      </c>
      <c r="M202" s="1" t="s">
        <v>1144</v>
      </c>
      <c r="N202" s="1" t="s">
        <v>42</v>
      </c>
      <c r="O202" s="1" t="s">
        <v>43</v>
      </c>
      <c r="P202" s="1" t="s">
        <v>1459</v>
      </c>
      <c r="Q202" s="1" t="s">
        <v>42</v>
      </c>
      <c r="R202" s="1" t="s">
        <v>1667</v>
      </c>
      <c r="S202" s="1" t="s">
        <v>89</v>
      </c>
      <c r="T202" s="1" t="s">
        <v>60</v>
      </c>
      <c r="U202" s="1" t="s">
        <v>1668</v>
      </c>
      <c r="V202" s="1" t="s">
        <v>1669</v>
      </c>
      <c r="W202" s="1" t="s">
        <v>35</v>
      </c>
      <c r="X202" s="1" t="s">
        <v>35</v>
      </c>
      <c r="Y202" s="1" t="s">
        <v>49</v>
      </c>
      <c r="Z202" s="1" t="s">
        <v>35</v>
      </c>
      <c r="AA202" s="1" t="s">
        <v>35</v>
      </c>
      <c r="AB202" s="1" t="s">
        <v>35</v>
      </c>
      <c r="AC202" s="1" t="s">
        <v>35</v>
      </c>
      <c r="AD202" s="1" t="s">
        <v>35</v>
      </c>
      <c r="AE202" s="1" t="s">
        <v>35</v>
      </c>
      <c r="AF202" s="1" t="s">
        <v>35</v>
      </c>
    </row>
    <row r="203" spans="1:32" x14ac:dyDescent="0.25">
      <c r="A203" s="1" t="s">
        <v>65</v>
      </c>
      <c r="B203" s="1" t="s">
        <v>1670</v>
      </c>
      <c r="C203" s="1" t="s">
        <v>1671</v>
      </c>
      <c r="D203" s="1" t="s">
        <v>1672</v>
      </c>
      <c r="E203" s="24">
        <v>45903</v>
      </c>
      <c r="F203" s="2" t="s">
        <v>103</v>
      </c>
      <c r="G203" s="1" t="s">
        <v>54</v>
      </c>
      <c r="H203" s="1" t="s">
        <v>36</v>
      </c>
      <c r="I203" s="1" t="s">
        <v>37</v>
      </c>
      <c r="J203" s="1" t="s">
        <v>38</v>
      </c>
      <c r="K203" s="1" t="s">
        <v>55</v>
      </c>
      <c r="L203" s="1" t="s">
        <v>69</v>
      </c>
      <c r="M203" s="1" t="s">
        <v>56</v>
      </c>
      <c r="N203" s="1" t="s">
        <v>42</v>
      </c>
      <c r="O203" s="1" t="s">
        <v>43</v>
      </c>
      <c r="P203" s="1" t="s">
        <v>158</v>
      </c>
      <c r="Q203" s="1" t="s">
        <v>42</v>
      </c>
      <c r="R203" s="1" t="s">
        <v>568</v>
      </c>
      <c r="S203" s="1" t="s">
        <v>569</v>
      </c>
      <c r="T203" s="1" t="s">
        <v>60</v>
      </c>
      <c r="U203" s="1" t="s">
        <v>61</v>
      </c>
      <c r="V203" s="1" t="s">
        <v>1673</v>
      </c>
      <c r="W203" s="1" t="s">
        <v>35</v>
      </c>
      <c r="X203" s="1" t="s">
        <v>35</v>
      </c>
      <c r="Y203" s="1" t="s">
        <v>49</v>
      </c>
      <c r="Z203" s="1" t="s">
        <v>35</v>
      </c>
      <c r="AA203" s="1" t="s">
        <v>35</v>
      </c>
      <c r="AB203" s="1" t="s">
        <v>35</v>
      </c>
      <c r="AC203" s="1" t="s">
        <v>35</v>
      </c>
      <c r="AD203" s="1" t="s">
        <v>35</v>
      </c>
      <c r="AE203" s="1" t="s">
        <v>1674</v>
      </c>
      <c r="AF203" s="1" t="s">
        <v>1675</v>
      </c>
    </row>
    <row r="204" spans="1:32" x14ac:dyDescent="0.25">
      <c r="A204" s="1" t="s">
        <v>50</v>
      </c>
      <c r="B204" s="1" t="s">
        <v>1676</v>
      </c>
      <c r="C204" s="1" t="s">
        <v>1677</v>
      </c>
      <c r="D204" s="1" t="s">
        <v>1678</v>
      </c>
      <c r="E204" s="24">
        <v>45903</v>
      </c>
      <c r="F204" s="2" t="s">
        <v>102</v>
      </c>
      <c r="G204" s="1" t="s">
        <v>54</v>
      </c>
      <c r="H204" s="1" t="s">
        <v>36</v>
      </c>
      <c r="I204" s="1" t="s">
        <v>37</v>
      </c>
      <c r="J204" s="1" t="s">
        <v>38</v>
      </c>
      <c r="K204" s="1" t="s">
        <v>55</v>
      </c>
      <c r="L204" s="1" t="s">
        <v>242</v>
      </c>
      <c r="M204" s="1" t="s">
        <v>56</v>
      </c>
      <c r="N204" s="1" t="s">
        <v>42</v>
      </c>
      <c r="O204" s="1" t="s">
        <v>43</v>
      </c>
      <c r="P204" s="1" t="s">
        <v>56</v>
      </c>
      <c r="Q204" s="1" t="s">
        <v>42</v>
      </c>
      <c r="R204" s="1" t="s">
        <v>1679</v>
      </c>
      <c r="S204" s="1" t="s">
        <v>1270</v>
      </c>
      <c r="T204" s="1" t="s">
        <v>60</v>
      </c>
      <c r="U204" s="1" t="s">
        <v>1680</v>
      </c>
      <c r="V204" s="1" t="s">
        <v>1681</v>
      </c>
      <c r="W204" s="1" t="s">
        <v>35</v>
      </c>
      <c r="X204" s="1" t="s">
        <v>35</v>
      </c>
      <c r="Y204" s="1" t="s">
        <v>49</v>
      </c>
      <c r="Z204" s="1" t="s">
        <v>35</v>
      </c>
      <c r="AA204" s="1" t="s">
        <v>35</v>
      </c>
      <c r="AB204" s="1" t="s">
        <v>35</v>
      </c>
      <c r="AC204" s="1" t="s">
        <v>35</v>
      </c>
      <c r="AD204" s="1" t="s">
        <v>35</v>
      </c>
      <c r="AE204" s="1" t="s">
        <v>1682</v>
      </c>
      <c r="AF204" s="1" t="s">
        <v>1683</v>
      </c>
    </row>
    <row r="205" spans="1:32" x14ac:dyDescent="0.25">
      <c r="A205" s="1" t="s">
        <v>65</v>
      </c>
      <c r="B205" s="1" t="s">
        <v>1684</v>
      </c>
      <c r="C205" s="1" t="s">
        <v>1685</v>
      </c>
      <c r="D205" s="1" t="s">
        <v>1686</v>
      </c>
      <c r="E205" s="24">
        <v>45904</v>
      </c>
      <c r="F205" s="2" t="s">
        <v>102</v>
      </c>
      <c r="G205" s="1" t="s">
        <v>35</v>
      </c>
      <c r="H205" s="1" t="s">
        <v>36</v>
      </c>
      <c r="I205" s="1" t="s">
        <v>37</v>
      </c>
      <c r="J205" s="1" t="s">
        <v>38</v>
      </c>
      <c r="K205" s="1" t="s">
        <v>55</v>
      </c>
      <c r="L205" s="1" t="s">
        <v>432</v>
      </c>
      <c r="M205" s="1" t="s">
        <v>1144</v>
      </c>
      <c r="N205" s="1" t="s">
        <v>42</v>
      </c>
      <c r="O205" s="1" t="s">
        <v>43</v>
      </c>
      <c r="P205" s="1" t="s">
        <v>1144</v>
      </c>
      <c r="Q205" s="1" t="s">
        <v>42</v>
      </c>
      <c r="R205" s="1" t="s">
        <v>1687</v>
      </c>
      <c r="S205" s="1" t="s">
        <v>111</v>
      </c>
      <c r="T205" s="1" t="s">
        <v>60</v>
      </c>
      <c r="U205" s="1" t="s">
        <v>1316</v>
      </c>
      <c r="V205" s="1" t="s">
        <v>1688</v>
      </c>
      <c r="W205" s="1" t="s">
        <v>35</v>
      </c>
      <c r="X205" s="1" t="s">
        <v>35</v>
      </c>
      <c r="Y205" s="1" t="s">
        <v>49</v>
      </c>
      <c r="Z205" s="1" t="s">
        <v>35</v>
      </c>
      <c r="AA205" s="1" t="s">
        <v>35</v>
      </c>
      <c r="AB205" s="1" t="s">
        <v>35</v>
      </c>
      <c r="AC205" s="1" t="s">
        <v>35</v>
      </c>
      <c r="AD205" s="1" t="s">
        <v>35</v>
      </c>
      <c r="AE205" s="1" t="s">
        <v>35</v>
      </c>
      <c r="AF205" s="1" t="s">
        <v>35</v>
      </c>
    </row>
    <row r="206" spans="1:32" x14ac:dyDescent="0.25">
      <c r="A206" s="1" t="s">
        <v>65</v>
      </c>
      <c r="B206" s="1" t="s">
        <v>1690</v>
      </c>
      <c r="C206" s="1" t="s">
        <v>1691</v>
      </c>
      <c r="D206" s="1" t="s">
        <v>1692</v>
      </c>
      <c r="E206" s="24">
        <v>45904</v>
      </c>
      <c r="F206" s="2" t="s">
        <v>102</v>
      </c>
      <c r="G206" s="1" t="s">
        <v>35</v>
      </c>
      <c r="H206" s="1" t="s">
        <v>36</v>
      </c>
      <c r="I206" s="1" t="s">
        <v>37</v>
      </c>
      <c r="J206" s="1" t="s">
        <v>38</v>
      </c>
      <c r="K206" s="1" t="s">
        <v>55</v>
      </c>
      <c r="L206" s="1" t="s">
        <v>432</v>
      </c>
      <c r="M206" s="1" t="s">
        <v>1144</v>
      </c>
      <c r="N206" s="1" t="s">
        <v>42</v>
      </c>
      <c r="O206" s="1" t="s">
        <v>43</v>
      </c>
      <c r="P206" s="1" t="s">
        <v>1144</v>
      </c>
      <c r="Q206" s="1" t="s">
        <v>42</v>
      </c>
      <c r="R206" s="1" t="s">
        <v>1693</v>
      </c>
      <c r="S206" s="1" t="s">
        <v>135</v>
      </c>
      <c r="T206" s="1" t="s">
        <v>60</v>
      </c>
      <c r="U206" s="1" t="s">
        <v>757</v>
      </c>
      <c r="V206" s="1" t="s">
        <v>1694</v>
      </c>
      <c r="W206" s="1" t="s">
        <v>35</v>
      </c>
      <c r="X206" s="1" t="s">
        <v>35</v>
      </c>
      <c r="Y206" s="1" t="s">
        <v>49</v>
      </c>
      <c r="Z206" s="1" t="s">
        <v>35</v>
      </c>
      <c r="AA206" s="1" t="s">
        <v>35</v>
      </c>
      <c r="AB206" s="1" t="s">
        <v>35</v>
      </c>
      <c r="AC206" s="1" t="s">
        <v>35</v>
      </c>
      <c r="AD206" s="1" t="s">
        <v>35</v>
      </c>
      <c r="AE206" s="1" t="s">
        <v>1695</v>
      </c>
      <c r="AF206" s="1" t="s">
        <v>1696</v>
      </c>
    </row>
    <row r="207" spans="1:32" x14ac:dyDescent="0.25">
      <c r="A207" s="1" t="s">
        <v>65</v>
      </c>
      <c r="B207" s="1" t="s">
        <v>1697</v>
      </c>
      <c r="C207" s="1" t="s">
        <v>1698</v>
      </c>
      <c r="D207" s="1" t="s">
        <v>1699</v>
      </c>
      <c r="E207" s="24">
        <v>45904</v>
      </c>
      <c r="F207" s="2" t="s">
        <v>39</v>
      </c>
      <c r="G207" s="1" t="s">
        <v>35</v>
      </c>
      <c r="H207" s="1" t="s">
        <v>36</v>
      </c>
      <c r="I207" s="1" t="s">
        <v>37</v>
      </c>
      <c r="J207" s="1" t="s">
        <v>38</v>
      </c>
      <c r="K207" s="1" t="s">
        <v>39</v>
      </c>
      <c r="L207" s="1" t="s">
        <v>432</v>
      </c>
      <c r="M207" s="1" t="s">
        <v>1144</v>
      </c>
      <c r="N207" s="1" t="s">
        <v>42</v>
      </c>
      <c r="O207" s="1" t="s">
        <v>43</v>
      </c>
      <c r="P207" s="1" t="s">
        <v>1144</v>
      </c>
      <c r="Q207" s="1" t="s">
        <v>42</v>
      </c>
      <c r="R207" s="1" t="s">
        <v>1700</v>
      </c>
      <c r="S207" s="1" t="s">
        <v>89</v>
      </c>
      <c r="T207" s="1" t="s">
        <v>60</v>
      </c>
      <c r="U207" s="1" t="s">
        <v>1499</v>
      </c>
      <c r="V207" s="1" t="s">
        <v>1701</v>
      </c>
      <c r="W207" s="1" t="s">
        <v>35</v>
      </c>
      <c r="X207" s="1" t="s">
        <v>35</v>
      </c>
      <c r="Y207" s="1" t="s">
        <v>49</v>
      </c>
      <c r="Z207" s="1" t="s">
        <v>35</v>
      </c>
      <c r="AA207" s="1" t="s">
        <v>35</v>
      </c>
      <c r="AB207" s="1" t="s">
        <v>35</v>
      </c>
      <c r="AC207" s="1" t="s">
        <v>35</v>
      </c>
      <c r="AD207" s="1" t="s">
        <v>35</v>
      </c>
      <c r="AE207" s="1" t="s">
        <v>35</v>
      </c>
      <c r="AF207" s="1" t="s">
        <v>35</v>
      </c>
    </row>
    <row r="208" spans="1:32" x14ac:dyDescent="0.25">
      <c r="A208" s="1" t="s">
        <v>50</v>
      </c>
      <c r="B208" s="1" t="s">
        <v>1702</v>
      </c>
      <c r="C208" s="1" t="s">
        <v>1703</v>
      </c>
      <c r="D208" s="1" t="s">
        <v>1704</v>
      </c>
      <c r="E208" s="24">
        <v>45905</v>
      </c>
      <c r="F208" s="2" t="s">
        <v>102</v>
      </c>
      <c r="G208" s="1" t="s">
        <v>302</v>
      </c>
      <c r="H208" s="1" t="s">
        <v>36</v>
      </c>
      <c r="I208" s="1" t="s">
        <v>37</v>
      </c>
      <c r="J208" s="1" t="s">
        <v>38</v>
      </c>
      <c r="K208" s="1" t="s">
        <v>55</v>
      </c>
      <c r="L208" s="1" t="s">
        <v>485</v>
      </c>
      <c r="M208" s="1" t="s">
        <v>433</v>
      </c>
      <c r="N208" s="1" t="s">
        <v>42</v>
      </c>
      <c r="O208" s="1" t="s">
        <v>43</v>
      </c>
      <c r="P208" s="1" t="s">
        <v>1468</v>
      </c>
      <c r="Q208" s="1" t="s">
        <v>42</v>
      </c>
      <c r="R208" s="1" t="s">
        <v>1705</v>
      </c>
      <c r="S208" s="1" t="s">
        <v>1706</v>
      </c>
      <c r="T208" s="1" t="s">
        <v>60</v>
      </c>
      <c r="U208" s="1" t="s">
        <v>410</v>
      </c>
      <c r="V208" s="1" t="s">
        <v>1707</v>
      </c>
      <c r="W208" s="1" t="s">
        <v>35</v>
      </c>
      <c r="X208" s="1" t="s">
        <v>35</v>
      </c>
      <c r="Y208" s="1" t="s">
        <v>49</v>
      </c>
      <c r="Z208" s="1" t="s">
        <v>35</v>
      </c>
      <c r="AA208" s="1" t="s">
        <v>35</v>
      </c>
      <c r="AB208" s="1" t="s">
        <v>35</v>
      </c>
      <c r="AC208" s="1" t="s">
        <v>1708</v>
      </c>
      <c r="AD208" s="1" t="s">
        <v>1709</v>
      </c>
      <c r="AE208" s="1" t="s">
        <v>1710</v>
      </c>
      <c r="AF208" s="1" t="s">
        <v>1711</v>
      </c>
    </row>
    <row r="209" spans="1:32" x14ac:dyDescent="0.25">
      <c r="A209" s="1" t="s">
        <v>65</v>
      </c>
      <c r="B209" s="1" t="s">
        <v>1712</v>
      </c>
      <c r="C209" s="1" t="s">
        <v>1713</v>
      </c>
      <c r="D209" s="1" t="s">
        <v>1714</v>
      </c>
      <c r="E209" s="24">
        <v>45907</v>
      </c>
      <c r="F209" s="2" t="s">
        <v>102</v>
      </c>
      <c r="G209" s="1" t="s">
        <v>54</v>
      </c>
      <c r="H209" s="1" t="s">
        <v>36</v>
      </c>
      <c r="I209" s="1" t="s">
        <v>37</v>
      </c>
      <c r="J209" s="1" t="s">
        <v>38</v>
      </c>
      <c r="K209" s="1" t="s">
        <v>55</v>
      </c>
      <c r="L209" s="1" t="s">
        <v>69</v>
      </c>
      <c r="M209" s="1" t="s">
        <v>56</v>
      </c>
      <c r="N209" s="1" t="s">
        <v>42</v>
      </c>
      <c r="O209" s="1" t="s">
        <v>43</v>
      </c>
      <c r="P209" s="1" t="s">
        <v>1144</v>
      </c>
      <c r="Q209" s="1" t="s">
        <v>42</v>
      </c>
      <c r="R209" s="1" t="s">
        <v>1715</v>
      </c>
      <c r="S209" s="1" t="s">
        <v>675</v>
      </c>
      <c r="T209" s="1" t="s">
        <v>60</v>
      </c>
      <c r="U209" s="1" t="s">
        <v>410</v>
      </c>
      <c r="V209" s="1" t="s">
        <v>1716</v>
      </c>
      <c r="W209" s="1" t="s">
        <v>35</v>
      </c>
      <c r="X209" s="1" t="s">
        <v>35</v>
      </c>
      <c r="Y209" s="1" t="s">
        <v>49</v>
      </c>
      <c r="Z209" s="1" t="s">
        <v>35</v>
      </c>
      <c r="AA209" s="1" t="s">
        <v>35</v>
      </c>
      <c r="AB209" s="1" t="s">
        <v>35</v>
      </c>
      <c r="AC209" s="1" t="s">
        <v>1054</v>
      </c>
      <c r="AD209" s="1" t="s">
        <v>1717</v>
      </c>
      <c r="AE209" s="1" t="s">
        <v>1718</v>
      </c>
      <c r="AF209" s="1" t="s">
        <v>1719</v>
      </c>
    </row>
    <row r="210" spans="1:32" x14ac:dyDescent="0.25">
      <c r="A210" s="1" t="s">
        <v>65</v>
      </c>
      <c r="B210" s="1" t="s">
        <v>1720</v>
      </c>
      <c r="C210" s="1" t="s">
        <v>1721</v>
      </c>
      <c r="D210" s="1" t="s">
        <v>1722</v>
      </c>
      <c r="E210" s="24">
        <v>45908</v>
      </c>
      <c r="F210" s="2" t="s">
        <v>102</v>
      </c>
      <c r="G210" s="1" t="s">
        <v>54</v>
      </c>
      <c r="H210" s="1" t="s">
        <v>36</v>
      </c>
      <c r="I210" s="1" t="s">
        <v>37</v>
      </c>
      <c r="J210" s="1" t="s">
        <v>38</v>
      </c>
      <c r="K210" s="1" t="s">
        <v>55</v>
      </c>
      <c r="L210" s="1" t="s">
        <v>176</v>
      </c>
      <c r="M210" s="1" t="s">
        <v>1251</v>
      </c>
      <c r="N210" s="1" t="s">
        <v>42</v>
      </c>
      <c r="O210" s="1" t="s">
        <v>43</v>
      </c>
      <c r="P210" s="1" t="s">
        <v>576</v>
      </c>
      <c r="Q210" s="1" t="s">
        <v>42</v>
      </c>
      <c r="R210" s="1" t="s">
        <v>434</v>
      </c>
      <c r="S210" s="1" t="s">
        <v>367</v>
      </c>
      <c r="T210" s="1" t="s">
        <v>60</v>
      </c>
      <c r="U210" s="1" t="s">
        <v>61</v>
      </c>
      <c r="V210" s="1" t="s">
        <v>1723</v>
      </c>
      <c r="W210" s="1" t="s">
        <v>35</v>
      </c>
      <c r="X210" s="1" t="s">
        <v>35</v>
      </c>
      <c r="Y210" s="1" t="s">
        <v>49</v>
      </c>
      <c r="Z210" s="1" t="s">
        <v>35</v>
      </c>
      <c r="AA210" s="1" t="s">
        <v>35</v>
      </c>
      <c r="AB210" s="1" t="s">
        <v>35</v>
      </c>
      <c r="AC210" s="1" t="s">
        <v>35</v>
      </c>
      <c r="AD210" s="1" t="s">
        <v>35</v>
      </c>
      <c r="AE210" s="1" t="s">
        <v>1724</v>
      </c>
      <c r="AF210" s="1" t="s">
        <v>1725</v>
      </c>
    </row>
    <row r="211" spans="1:32" x14ac:dyDescent="0.25">
      <c r="A211" s="1" t="s">
        <v>50</v>
      </c>
      <c r="B211" s="1" t="s">
        <v>1726</v>
      </c>
      <c r="C211" s="1" t="s">
        <v>1727</v>
      </c>
      <c r="D211" s="1" t="s">
        <v>1728</v>
      </c>
      <c r="E211" s="24">
        <v>45908</v>
      </c>
      <c r="F211" s="2" t="s">
        <v>103</v>
      </c>
      <c r="G211" s="1" t="s">
        <v>302</v>
      </c>
      <c r="H211" s="1" t="s">
        <v>36</v>
      </c>
      <c r="I211" s="1" t="s">
        <v>37</v>
      </c>
      <c r="J211" s="1" t="s">
        <v>38</v>
      </c>
      <c r="K211" s="1" t="s">
        <v>55</v>
      </c>
      <c r="L211" s="1" t="s">
        <v>69</v>
      </c>
      <c r="M211" s="1" t="s">
        <v>1729</v>
      </c>
      <c r="N211" s="1" t="s">
        <v>42</v>
      </c>
      <c r="O211" s="1" t="s">
        <v>43</v>
      </c>
      <c r="P211" s="1" t="s">
        <v>120</v>
      </c>
      <c r="Q211" s="1" t="s">
        <v>42</v>
      </c>
      <c r="R211" s="1" t="s">
        <v>1730</v>
      </c>
      <c r="S211" s="1" t="s">
        <v>80</v>
      </c>
      <c r="T211" s="1" t="s">
        <v>46</v>
      </c>
      <c r="U211" s="1" t="s">
        <v>668</v>
      </c>
      <c r="V211" s="1" t="s">
        <v>1731</v>
      </c>
      <c r="W211" s="1" t="s">
        <v>35</v>
      </c>
      <c r="X211" s="1" t="s">
        <v>35</v>
      </c>
      <c r="Y211" s="1" t="s">
        <v>49</v>
      </c>
      <c r="Z211" s="1" t="s">
        <v>35</v>
      </c>
      <c r="AA211" s="1" t="s">
        <v>35</v>
      </c>
      <c r="AB211" s="1" t="s">
        <v>35</v>
      </c>
      <c r="AC211" s="1" t="s">
        <v>35</v>
      </c>
      <c r="AD211" s="1" t="s">
        <v>35</v>
      </c>
      <c r="AE211" s="1" t="s">
        <v>1732</v>
      </c>
      <c r="AF211" s="1" t="s">
        <v>1733</v>
      </c>
    </row>
    <row r="212" spans="1:32" x14ac:dyDescent="0.25">
      <c r="A212" s="1" t="s">
        <v>65</v>
      </c>
      <c r="B212" s="1" t="s">
        <v>1734</v>
      </c>
      <c r="C212" s="1" t="s">
        <v>1735</v>
      </c>
      <c r="D212" s="1" t="s">
        <v>1736</v>
      </c>
      <c r="E212" s="24">
        <v>45909</v>
      </c>
      <c r="F212" s="2" t="s">
        <v>102</v>
      </c>
      <c r="G212" s="1" t="s">
        <v>35</v>
      </c>
      <c r="H212" s="1" t="s">
        <v>36</v>
      </c>
      <c r="I212" s="1" t="s">
        <v>37</v>
      </c>
      <c r="J212" s="1" t="s">
        <v>38</v>
      </c>
      <c r="K212" s="1" t="s">
        <v>55</v>
      </c>
      <c r="L212" s="1" t="s">
        <v>432</v>
      </c>
      <c r="M212" s="1" t="s">
        <v>1144</v>
      </c>
      <c r="N212" s="1" t="s">
        <v>42</v>
      </c>
      <c r="O212" s="1" t="s">
        <v>43</v>
      </c>
      <c r="P212" s="1" t="s">
        <v>1144</v>
      </c>
      <c r="Q212" s="1" t="s">
        <v>42</v>
      </c>
      <c r="R212" s="1" t="s">
        <v>1737</v>
      </c>
      <c r="S212" s="1" t="s">
        <v>555</v>
      </c>
      <c r="T212" s="1" t="s">
        <v>60</v>
      </c>
      <c r="U212" s="1" t="s">
        <v>838</v>
      </c>
      <c r="V212" s="1" t="s">
        <v>1738</v>
      </c>
      <c r="W212" s="1" t="s">
        <v>35</v>
      </c>
      <c r="X212" s="1" t="s">
        <v>35</v>
      </c>
      <c r="Y212" s="1" t="s">
        <v>49</v>
      </c>
      <c r="Z212" s="1" t="s">
        <v>35</v>
      </c>
      <c r="AA212" s="1" t="s">
        <v>35</v>
      </c>
      <c r="AB212" s="1" t="s">
        <v>35</v>
      </c>
      <c r="AC212" s="1" t="s">
        <v>35</v>
      </c>
      <c r="AD212" s="1" t="s">
        <v>35</v>
      </c>
      <c r="AE212" s="1" t="s">
        <v>1739</v>
      </c>
      <c r="AF212" s="1" t="s">
        <v>1740</v>
      </c>
    </row>
    <row r="213" spans="1:32" x14ac:dyDescent="0.25">
      <c r="A213" s="1" t="s">
        <v>50</v>
      </c>
      <c r="B213" s="1" t="s">
        <v>1741</v>
      </c>
      <c r="C213" s="1" t="s">
        <v>1742</v>
      </c>
      <c r="D213" s="1" t="s">
        <v>1743</v>
      </c>
      <c r="E213" s="24">
        <v>45909</v>
      </c>
      <c r="F213" s="2" t="s">
        <v>103</v>
      </c>
      <c r="G213" s="1" t="s">
        <v>302</v>
      </c>
      <c r="H213" s="1" t="s">
        <v>36</v>
      </c>
      <c r="I213" s="1" t="s">
        <v>37</v>
      </c>
      <c r="J213" s="1" t="s">
        <v>432</v>
      </c>
      <c r="K213" s="1" t="s">
        <v>55</v>
      </c>
      <c r="L213" s="1" t="s">
        <v>40</v>
      </c>
      <c r="M213" s="1" t="s">
        <v>835</v>
      </c>
      <c r="N213" s="1" t="s">
        <v>42</v>
      </c>
      <c r="O213" s="1" t="s">
        <v>43</v>
      </c>
      <c r="P213" s="1" t="s">
        <v>835</v>
      </c>
      <c r="Q213" s="1" t="s">
        <v>42</v>
      </c>
      <c r="R213" s="1" t="s">
        <v>1744</v>
      </c>
      <c r="S213" s="1" t="s">
        <v>135</v>
      </c>
      <c r="T213" s="1" t="s">
        <v>60</v>
      </c>
      <c r="U213" s="1" t="s">
        <v>668</v>
      </c>
      <c r="V213" s="1" t="s">
        <v>1745</v>
      </c>
      <c r="W213" s="1" t="s">
        <v>35</v>
      </c>
      <c r="X213" s="1" t="s">
        <v>35</v>
      </c>
      <c r="Y213" s="1" t="s">
        <v>49</v>
      </c>
      <c r="Z213" s="1" t="s">
        <v>35</v>
      </c>
      <c r="AA213" s="1" t="s">
        <v>35</v>
      </c>
      <c r="AB213" s="1" t="s">
        <v>35</v>
      </c>
      <c r="AC213" s="1" t="s">
        <v>35</v>
      </c>
      <c r="AD213" s="1" t="s">
        <v>35</v>
      </c>
      <c r="AE213" s="1" t="s">
        <v>1746</v>
      </c>
      <c r="AF213" s="1" t="s">
        <v>1747</v>
      </c>
    </row>
    <row r="214" spans="1:32" x14ac:dyDescent="0.25">
      <c r="A214" s="1" t="s">
        <v>50</v>
      </c>
      <c r="B214" s="1" t="s">
        <v>1748</v>
      </c>
      <c r="C214" s="1" t="s">
        <v>1749</v>
      </c>
      <c r="D214" s="1" t="s">
        <v>1750</v>
      </c>
      <c r="E214" s="24">
        <v>45910</v>
      </c>
      <c r="F214" s="2" t="s">
        <v>103</v>
      </c>
      <c r="G214" s="1" t="s">
        <v>54</v>
      </c>
      <c r="H214" s="1" t="s">
        <v>36</v>
      </c>
      <c r="I214" s="1" t="s">
        <v>37</v>
      </c>
      <c r="J214" s="1" t="s">
        <v>38</v>
      </c>
      <c r="K214" s="1" t="s">
        <v>55</v>
      </c>
      <c r="L214" s="1" t="s">
        <v>40</v>
      </c>
      <c r="M214" s="1" t="s">
        <v>56</v>
      </c>
      <c r="N214" s="1" t="s">
        <v>42</v>
      </c>
      <c r="O214" s="1" t="s">
        <v>43</v>
      </c>
      <c r="P214" s="1" t="s">
        <v>185</v>
      </c>
      <c r="Q214" s="1" t="s">
        <v>42</v>
      </c>
      <c r="R214" s="1" t="s">
        <v>1751</v>
      </c>
      <c r="S214" s="1" t="s">
        <v>555</v>
      </c>
      <c r="T214" s="1" t="s">
        <v>60</v>
      </c>
      <c r="U214" s="1" t="s">
        <v>215</v>
      </c>
      <c r="V214" s="1" t="s">
        <v>1752</v>
      </c>
      <c r="W214" s="1" t="s">
        <v>35</v>
      </c>
      <c r="X214" s="1" t="s">
        <v>35</v>
      </c>
      <c r="Y214" s="1" t="s">
        <v>49</v>
      </c>
      <c r="Z214" s="1" t="s">
        <v>35</v>
      </c>
      <c r="AA214" s="1" t="s">
        <v>35</v>
      </c>
      <c r="AB214" s="1" t="s">
        <v>35</v>
      </c>
      <c r="AC214" s="1" t="s">
        <v>587</v>
      </c>
      <c r="AD214" s="1" t="s">
        <v>1753</v>
      </c>
      <c r="AE214" s="1" t="s">
        <v>1754</v>
      </c>
      <c r="AF214" s="1" t="s">
        <v>1755</v>
      </c>
    </row>
    <row r="215" spans="1:32" x14ac:dyDescent="0.25">
      <c r="A215" s="1" t="s">
        <v>65</v>
      </c>
      <c r="B215" s="1" t="s">
        <v>1756</v>
      </c>
      <c r="C215" s="1" t="s">
        <v>1757</v>
      </c>
      <c r="D215" s="1" t="s">
        <v>1758</v>
      </c>
      <c r="E215" s="24">
        <v>45910</v>
      </c>
      <c r="F215" s="2" t="s">
        <v>103</v>
      </c>
      <c r="G215" s="1" t="s">
        <v>194</v>
      </c>
      <c r="H215" s="1" t="s">
        <v>36</v>
      </c>
      <c r="I215" s="1" t="s">
        <v>37</v>
      </c>
      <c r="J215" s="1" t="s">
        <v>38</v>
      </c>
      <c r="K215" s="1" t="s">
        <v>55</v>
      </c>
      <c r="L215" s="1" t="s">
        <v>176</v>
      </c>
      <c r="M215" s="1" t="s">
        <v>177</v>
      </c>
      <c r="N215" s="1" t="s">
        <v>42</v>
      </c>
      <c r="O215" s="1" t="s">
        <v>43</v>
      </c>
      <c r="P215" s="1" t="s">
        <v>177</v>
      </c>
      <c r="Q215" s="1" t="s">
        <v>42</v>
      </c>
      <c r="R215" s="1" t="s">
        <v>1759</v>
      </c>
      <c r="S215" s="1" t="s">
        <v>409</v>
      </c>
      <c r="T215" s="1" t="s">
        <v>60</v>
      </c>
      <c r="U215" s="1" t="s">
        <v>145</v>
      </c>
      <c r="V215" s="1" t="s">
        <v>1760</v>
      </c>
      <c r="W215" s="1" t="s">
        <v>35</v>
      </c>
      <c r="X215" s="1" t="s">
        <v>35</v>
      </c>
      <c r="Y215" s="1" t="s">
        <v>49</v>
      </c>
      <c r="Z215" s="1" t="s">
        <v>35</v>
      </c>
      <c r="AA215" s="1" t="s">
        <v>35</v>
      </c>
      <c r="AB215" s="1" t="s">
        <v>35</v>
      </c>
      <c r="AC215" s="1" t="s">
        <v>35</v>
      </c>
      <c r="AD215" s="1" t="s">
        <v>35</v>
      </c>
      <c r="AE215" s="1" t="s">
        <v>1761</v>
      </c>
      <c r="AF215" s="1" t="s">
        <v>1762</v>
      </c>
    </row>
    <row r="216" spans="1:32" x14ac:dyDescent="0.25">
      <c r="A216" s="1" t="s">
        <v>65</v>
      </c>
      <c r="B216" s="1" t="s">
        <v>1763</v>
      </c>
      <c r="C216" s="1" t="s">
        <v>1764</v>
      </c>
      <c r="D216" s="1" t="s">
        <v>1765</v>
      </c>
      <c r="E216" s="24">
        <v>45911</v>
      </c>
      <c r="F216" s="2" t="s">
        <v>103</v>
      </c>
      <c r="G216" s="1" t="s">
        <v>54</v>
      </c>
      <c r="H216" s="1" t="s">
        <v>36</v>
      </c>
      <c r="I216" s="1" t="s">
        <v>37</v>
      </c>
      <c r="J216" s="1" t="s">
        <v>38</v>
      </c>
      <c r="K216" s="1" t="s">
        <v>55</v>
      </c>
      <c r="L216" s="1" t="s">
        <v>69</v>
      </c>
      <c r="M216" s="1" t="s">
        <v>658</v>
      </c>
      <c r="N216" s="1" t="s">
        <v>42</v>
      </c>
      <c r="O216" s="1" t="s">
        <v>43</v>
      </c>
      <c r="P216" s="1" t="s">
        <v>658</v>
      </c>
      <c r="Q216" s="1" t="s">
        <v>42</v>
      </c>
      <c r="R216" s="1" t="s">
        <v>1766</v>
      </c>
      <c r="S216" s="1" t="s">
        <v>167</v>
      </c>
      <c r="T216" s="1" t="s">
        <v>60</v>
      </c>
      <c r="U216" s="1" t="s">
        <v>61</v>
      </c>
      <c r="V216" s="1" t="s">
        <v>1767</v>
      </c>
      <c r="W216" s="1" t="s">
        <v>35</v>
      </c>
      <c r="X216" s="1" t="s">
        <v>35</v>
      </c>
      <c r="Y216" s="1" t="s">
        <v>49</v>
      </c>
      <c r="Z216" s="1" t="s">
        <v>35</v>
      </c>
      <c r="AA216" s="1" t="s">
        <v>35</v>
      </c>
      <c r="AB216" s="1" t="s">
        <v>35</v>
      </c>
      <c r="AC216" s="1" t="s">
        <v>35</v>
      </c>
      <c r="AD216" s="1" t="s">
        <v>35</v>
      </c>
      <c r="AE216" s="1" t="s">
        <v>1768</v>
      </c>
      <c r="AF216" s="1" t="s">
        <v>1769</v>
      </c>
    </row>
    <row r="217" spans="1:32" x14ac:dyDescent="0.25">
      <c r="A217" s="1" t="s">
        <v>50</v>
      </c>
      <c r="B217" s="1" t="s">
        <v>1770</v>
      </c>
      <c r="C217" s="1" t="s">
        <v>1771</v>
      </c>
      <c r="D217" s="1" t="s">
        <v>1772</v>
      </c>
      <c r="E217" s="24">
        <v>45913</v>
      </c>
      <c r="F217" s="2" t="s">
        <v>103</v>
      </c>
      <c r="G217" s="1" t="s">
        <v>783</v>
      </c>
      <c r="H217" s="1" t="s">
        <v>36</v>
      </c>
      <c r="I217" s="1" t="s">
        <v>37</v>
      </c>
      <c r="J217" s="1" t="s">
        <v>38</v>
      </c>
      <c r="K217" s="1" t="s">
        <v>55</v>
      </c>
      <c r="L217" s="1" t="s">
        <v>242</v>
      </c>
      <c r="M217" s="1" t="s">
        <v>1773</v>
      </c>
      <c r="N217" s="1" t="s">
        <v>42</v>
      </c>
      <c r="O217" s="1" t="s">
        <v>43</v>
      </c>
      <c r="P217" s="1" t="s">
        <v>1773</v>
      </c>
      <c r="Q217" s="1" t="s">
        <v>42</v>
      </c>
      <c r="R217" s="1" t="s">
        <v>912</v>
      </c>
      <c r="S217" s="1" t="s">
        <v>586</v>
      </c>
      <c r="T217" s="1" t="s">
        <v>46</v>
      </c>
      <c r="U217" s="1" t="s">
        <v>145</v>
      </c>
      <c r="V217" s="1" t="s">
        <v>1774</v>
      </c>
      <c r="W217" s="1" t="s">
        <v>35</v>
      </c>
      <c r="X217" s="1" t="s">
        <v>35</v>
      </c>
      <c r="Y217" s="1" t="s">
        <v>49</v>
      </c>
      <c r="Z217" s="1" t="s">
        <v>35</v>
      </c>
      <c r="AA217" s="1" t="s">
        <v>35</v>
      </c>
      <c r="AB217" s="1" t="s">
        <v>35</v>
      </c>
      <c r="AC217" s="1" t="s">
        <v>35</v>
      </c>
      <c r="AD217" s="1" t="s">
        <v>35</v>
      </c>
      <c r="AE217" s="1" t="s">
        <v>1775</v>
      </c>
      <c r="AF217" s="1" t="s">
        <v>1776</v>
      </c>
    </row>
    <row r="218" spans="1:32" x14ac:dyDescent="0.25">
      <c r="A218" s="1" t="s">
        <v>50</v>
      </c>
      <c r="B218" s="1" t="s">
        <v>1777</v>
      </c>
      <c r="C218" s="1" t="s">
        <v>1778</v>
      </c>
      <c r="D218" s="1" t="s">
        <v>1779</v>
      </c>
      <c r="E218" s="24">
        <v>45914</v>
      </c>
      <c r="F218" s="2" t="s">
        <v>102</v>
      </c>
      <c r="G218" s="1" t="s">
        <v>54</v>
      </c>
      <c r="H218" s="1" t="s">
        <v>36</v>
      </c>
      <c r="I218" s="1" t="s">
        <v>37</v>
      </c>
      <c r="J218" s="1" t="s">
        <v>38</v>
      </c>
      <c r="K218" s="1" t="s">
        <v>55</v>
      </c>
      <c r="L218" s="1" t="s">
        <v>242</v>
      </c>
      <c r="M218" s="1" t="s">
        <v>119</v>
      </c>
      <c r="N218" s="1" t="s">
        <v>42</v>
      </c>
      <c r="O218" s="1" t="s">
        <v>43</v>
      </c>
      <c r="P218" s="1" t="s">
        <v>493</v>
      </c>
      <c r="Q218" s="1" t="s">
        <v>42</v>
      </c>
      <c r="R218" s="1" t="s">
        <v>1305</v>
      </c>
      <c r="S218" s="1" t="s">
        <v>451</v>
      </c>
      <c r="T218" s="1" t="s">
        <v>60</v>
      </c>
      <c r="U218" s="1" t="s">
        <v>61</v>
      </c>
      <c r="V218" s="1" t="s">
        <v>1780</v>
      </c>
      <c r="W218" s="1" t="s">
        <v>35</v>
      </c>
      <c r="X218" s="1" t="s">
        <v>35</v>
      </c>
      <c r="Y218" s="1" t="s">
        <v>49</v>
      </c>
      <c r="Z218" s="1" t="s">
        <v>35</v>
      </c>
      <c r="AA218" s="1" t="s">
        <v>35</v>
      </c>
      <c r="AB218" s="1" t="s">
        <v>35</v>
      </c>
      <c r="AC218" s="1" t="s">
        <v>1781</v>
      </c>
      <c r="AD218" s="1" t="s">
        <v>1782</v>
      </c>
      <c r="AE218" s="1" t="s">
        <v>1783</v>
      </c>
      <c r="AF218" s="1" t="s">
        <v>1784</v>
      </c>
    </row>
    <row r="219" spans="1:32" x14ac:dyDescent="0.25">
      <c r="A219" s="1" t="s">
        <v>50</v>
      </c>
      <c r="B219" s="1" t="s">
        <v>1785</v>
      </c>
      <c r="C219" s="1" t="s">
        <v>1786</v>
      </c>
      <c r="D219" s="1" t="s">
        <v>1787</v>
      </c>
      <c r="E219" s="24">
        <v>45914</v>
      </c>
      <c r="F219" s="2" t="s">
        <v>103</v>
      </c>
      <c r="G219" s="1" t="s">
        <v>54</v>
      </c>
      <c r="H219" s="1" t="s">
        <v>36</v>
      </c>
      <c r="I219" s="1" t="s">
        <v>37</v>
      </c>
      <c r="J219" s="1" t="s">
        <v>38</v>
      </c>
      <c r="K219" s="1" t="s">
        <v>55</v>
      </c>
      <c r="L219" s="1" t="s">
        <v>176</v>
      </c>
      <c r="M219" s="1" t="s">
        <v>56</v>
      </c>
      <c r="N219" s="1" t="s">
        <v>42</v>
      </c>
      <c r="O219" s="1" t="s">
        <v>43</v>
      </c>
      <c r="P219" s="1" t="s">
        <v>56</v>
      </c>
      <c r="Q219" s="1" t="s">
        <v>42</v>
      </c>
      <c r="R219" s="1" t="s">
        <v>1788</v>
      </c>
      <c r="S219" s="1" t="s">
        <v>904</v>
      </c>
      <c r="T219" s="1" t="s">
        <v>46</v>
      </c>
      <c r="U219" s="1" t="s">
        <v>145</v>
      </c>
      <c r="V219" s="1" t="s">
        <v>1789</v>
      </c>
      <c r="W219" s="1" t="s">
        <v>35</v>
      </c>
      <c r="X219" s="1" t="s">
        <v>35</v>
      </c>
      <c r="Y219" s="1" t="s">
        <v>49</v>
      </c>
      <c r="Z219" s="1" t="s">
        <v>35</v>
      </c>
      <c r="AA219" s="1" t="s">
        <v>35</v>
      </c>
      <c r="AB219" s="1" t="s">
        <v>35</v>
      </c>
      <c r="AC219" s="1" t="s">
        <v>921</v>
      </c>
      <c r="AD219" s="1" t="s">
        <v>1790</v>
      </c>
      <c r="AE219" s="1" t="s">
        <v>1791</v>
      </c>
      <c r="AF219" s="1" t="s">
        <v>1792</v>
      </c>
    </row>
    <row r="220" spans="1:32" x14ac:dyDescent="0.25">
      <c r="A220" s="1" t="s">
        <v>50</v>
      </c>
      <c r="B220" s="1" t="s">
        <v>1793</v>
      </c>
      <c r="C220" s="1" t="s">
        <v>1794</v>
      </c>
      <c r="D220" s="1" t="s">
        <v>1795</v>
      </c>
      <c r="E220" s="24">
        <v>45914</v>
      </c>
      <c r="F220" s="2" t="s">
        <v>39</v>
      </c>
      <c r="G220" s="1" t="s">
        <v>302</v>
      </c>
      <c r="H220" s="1" t="s">
        <v>36</v>
      </c>
      <c r="I220" s="1" t="s">
        <v>37</v>
      </c>
      <c r="J220" s="1" t="s">
        <v>38</v>
      </c>
      <c r="K220" s="1" t="s">
        <v>39</v>
      </c>
      <c r="L220" s="1" t="s">
        <v>69</v>
      </c>
      <c r="M220" s="1" t="s">
        <v>1796</v>
      </c>
      <c r="N220" s="1" t="s">
        <v>42</v>
      </c>
      <c r="O220" s="1" t="s">
        <v>43</v>
      </c>
      <c r="P220" s="1" t="s">
        <v>433</v>
      </c>
      <c r="Q220" s="1" t="s">
        <v>42</v>
      </c>
      <c r="R220" s="1" t="s">
        <v>1797</v>
      </c>
      <c r="S220" s="1" t="s">
        <v>1261</v>
      </c>
      <c r="T220" s="1" t="s">
        <v>46</v>
      </c>
      <c r="U220" s="1" t="s">
        <v>757</v>
      </c>
      <c r="V220" s="1" t="s">
        <v>1798</v>
      </c>
      <c r="W220" s="1" t="s">
        <v>35</v>
      </c>
      <c r="X220" s="1" t="s">
        <v>35</v>
      </c>
      <c r="Y220" s="1" t="s">
        <v>49</v>
      </c>
      <c r="Z220" s="1" t="s">
        <v>35</v>
      </c>
      <c r="AA220" s="1" t="s">
        <v>35</v>
      </c>
      <c r="AB220" s="1" t="s">
        <v>35</v>
      </c>
      <c r="AC220" s="1" t="s">
        <v>35</v>
      </c>
      <c r="AD220" s="1" t="s">
        <v>35</v>
      </c>
      <c r="AE220" s="1" t="s">
        <v>35</v>
      </c>
      <c r="AF220" s="1" t="s">
        <v>35</v>
      </c>
    </row>
    <row r="221" spans="1:32" x14ac:dyDescent="0.25">
      <c r="A221" s="1" t="s">
        <v>31</v>
      </c>
      <c r="B221" s="1" t="s">
        <v>1799</v>
      </c>
      <c r="C221" s="1" t="s">
        <v>33</v>
      </c>
      <c r="D221" s="1" t="s">
        <v>1800</v>
      </c>
      <c r="E221" s="24">
        <v>45915</v>
      </c>
      <c r="F221" s="2" t="s">
        <v>39</v>
      </c>
      <c r="G221" s="1" t="s">
        <v>194</v>
      </c>
      <c r="H221" s="1" t="s">
        <v>36</v>
      </c>
      <c r="I221" s="1" t="s">
        <v>37</v>
      </c>
      <c r="J221" s="1" t="s">
        <v>38</v>
      </c>
      <c r="K221" s="1" t="s">
        <v>39</v>
      </c>
      <c r="L221" s="1" t="s">
        <v>176</v>
      </c>
      <c r="M221" s="1" t="s">
        <v>1801</v>
      </c>
      <c r="N221" s="1" t="s">
        <v>42</v>
      </c>
      <c r="O221" s="1" t="s">
        <v>43</v>
      </c>
      <c r="P221" s="1" t="s">
        <v>120</v>
      </c>
      <c r="Q221" s="1" t="s">
        <v>42</v>
      </c>
      <c r="R221" s="1" t="s">
        <v>1802</v>
      </c>
      <c r="S221" s="1" t="s">
        <v>45</v>
      </c>
      <c r="T221" s="1" t="s">
        <v>46</v>
      </c>
      <c r="U221" s="1" t="s">
        <v>1803</v>
      </c>
      <c r="V221" s="1" t="s">
        <v>1804</v>
      </c>
      <c r="W221" s="1" t="s">
        <v>35</v>
      </c>
      <c r="X221" s="1" t="s">
        <v>35</v>
      </c>
      <c r="Y221" s="1" t="s">
        <v>49</v>
      </c>
      <c r="Z221" s="1" t="s">
        <v>35</v>
      </c>
      <c r="AA221" s="1" t="s">
        <v>35</v>
      </c>
      <c r="AB221" s="1" t="s">
        <v>35</v>
      </c>
      <c r="AC221" s="1" t="s">
        <v>1805</v>
      </c>
      <c r="AD221" s="1" t="s">
        <v>1806</v>
      </c>
      <c r="AE221" s="1" t="s">
        <v>1807</v>
      </c>
      <c r="AF221" s="1" t="s">
        <v>1808</v>
      </c>
    </row>
    <row r="222" spans="1:32" x14ac:dyDescent="0.25">
      <c r="A222" s="1" t="s">
        <v>65</v>
      </c>
      <c r="B222" s="1" t="s">
        <v>1809</v>
      </c>
      <c r="C222" s="1" t="s">
        <v>1810</v>
      </c>
      <c r="D222" s="1" t="s">
        <v>1811</v>
      </c>
      <c r="E222" s="24">
        <v>45916</v>
      </c>
      <c r="F222" s="2" t="s">
        <v>103</v>
      </c>
      <c r="G222" s="1" t="s">
        <v>194</v>
      </c>
      <c r="H222" s="1" t="s">
        <v>36</v>
      </c>
      <c r="I222" s="1" t="s">
        <v>37</v>
      </c>
      <c r="J222" s="1" t="s">
        <v>38</v>
      </c>
      <c r="K222" s="1" t="s">
        <v>55</v>
      </c>
      <c r="L222" s="1" t="s">
        <v>69</v>
      </c>
      <c r="M222" s="1" t="s">
        <v>458</v>
      </c>
      <c r="N222" s="1" t="s">
        <v>42</v>
      </c>
      <c r="O222" s="1" t="s">
        <v>43</v>
      </c>
      <c r="P222" s="1" t="s">
        <v>1812</v>
      </c>
      <c r="Q222" s="1" t="s">
        <v>42</v>
      </c>
      <c r="R222" s="1" t="s">
        <v>1813</v>
      </c>
      <c r="S222" s="1" t="s">
        <v>469</v>
      </c>
      <c r="T222" s="1" t="s">
        <v>60</v>
      </c>
      <c r="U222" s="1" t="s">
        <v>61</v>
      </c>
      <c r="V222" s="1" t="s">
        <v>1814</v>
      </c>
      <c r="W222" s="1" t="s">
        <v>35</v>
      </c>
      <c r="X222" s="1" t="s">
        <v>35</v>
      </c>
      <c r="Y222" s="1" t="s">
        <v>49</v>
      </c>
      <c r="Z222" s="1" t="s">
        <v>35</v>
      </c>
      <c r="AA222" s="1" t="s">
        <v>35</v>
      </c>
      <c r="AB222" s="1" t="s">
        <v>35</v>
      </c>
      <c r="AC222" s="1" t="s">
        <v>35</v>
      </c>
      <c r="AD222" s="1" t="s">
        <v>35</v>
      </c>
      <c r="AE222" s="1" t="s">
        <v>1815</v>
      </c>
      <c r="AF222" s="1" t="s">
        <v>1816</v>
      </c>
    </row>
    <row r="223" spans="1:32" x14ac:dyDescent="0.25">
      <c r="A223" s="1" t="s">
        <v>50</v>
      </c>
      <c r="B223" s="1" t="s">
        <v>1817</v>
      </c>
      <c r="C223" s="1" t="s">
        <v>1818</v>
      </c>
      <c r="D223" s="1" t="s">
        <v>1819</v>
      </c>
      <c r="E223" s="24">
        <v>45916</v>
      </c>
      <c r="F223" s="2" t="s">
        <v>102</v>
      </c>
      <c r="G223" s="1" t="s">
        <v>54</v>
      </c>
      <c r="H223" s="1" t="s">
        <v>36</v>
      </c>
      <c r="I223" s="1" t="s">
        <v>37</v>
      </c>
      <c r="J223" s="1" t="s">
        <v>38</v>
      </c>
      <c r="K223" s="1" t="s">
        <v>55</v>
      </c>
      <c r="L223" s="1" t="s">
        <v>176</v>
      </c>
      <c r="M223" s="1" t="s">
        <v>56</v>
      </c>
      <c r="N223" s="1" t="s">
        <v>42</v>
      </c>
      <c r="O223" s="1" t="s">
        <v>43</v>
      </c>
      <c r="P223" s="1" t="s">
        <v>399</v>
      </c>
      <c r="Q223" s="1" t="s">
        <v>42</v>
      </c>
      <c r="R223" s="1" t="s">
        <v>1820</v>
      </c>
      <c r="S223" s="1" t="s">
        <v>45</v>
      </c>
      <c r="T223" s="1" t="s">
        <v>60</v>
      </c>
      <c r="U223" s="1" t="s">
        <v>61</v>
      </c>
      <c r="V223" s="1" t="s">
        <v>1821</v>
      </c>
      <c r="W223" s="1" t="s">
        <v>35</v>
      </c>
      <c r="X223" s="1" t="s">
        <v>35</v>
      </c>
      <c r="Y223" s="1" t="s">
        <v>49</v>
      </c>
      <c r="Z223" s="1" t="s">
        <v>35</v>
      </c>
      <c r="AA223" s="1" t="s">
        <v>35</v>
      </c>
      <c r="AB223" s="1" t="s">
        <v>35</v>
      </c>
      <c r="AC223" s="1" t="s">
        <v>35</v>
      </c>
      <c r="AD223" s="1" t="s">
        <v>35</v>
      </c>
      <c r="AE223" s="1" t="s">
        <v>1822</v>
      </c>
      <c r="AF223" s="1" t="s">
        <v>1823</v>
      </c>
    </row>
    <row r="224" spans="1:32" x14ac:dyDescent="0.25">
      <c r="A224" s="1" t="s">
        <v>50</v>
      </c>
      <c r="B224" s="1" t="s">
        <v>1824</v>
      </c>
      <c r="C224" s="1" t="s">
        <v>1825</v>
      </c>
      <c r="D224" s="1" t="s">
        <v>1826</v>
      </c>
      <c r="E224" s="24">
        <v>45916</v>
      </c>
      <c r="F224" s="2" t="s">
        <v>103</v>
      </c>
      <c r="G224" s="1" t="s">
        <v>302</v>
      </c>
      <c r="H224" s="1" t="s">
        <v>36</v>
      </c>
      <c r="I224" s="1" t="s">
        <v>37</v>
      </c>
      <c r="J224" s="1" t="s">
        <v>38</v>
      </c>
      <c r="K224" s="1" t="s">
        <v>55</v>
      </c>
      <c r="L224" s="1" t="s">
        <v>176</v>
      </c>
      <c r="M224" s="1" t="s">
        <v>56</v>
      </c>
      <c r="N224" s="1" t="s">
        <v>42</v>
      </c>
      <c r="O224" s="1" t="s">
        <v>43</v>
      </c>
      <c r="P224" s="1" t="s">
        <v>1827</v>
      </c>
      <c r="Q224" s="1" t="s">
        <v>42</v>
      </c>
      <c r="R224" s="1" t="s">
        <v>1828</v>
      </c>
      <c r="S224" s="1" t="s">
        <v>675</v>
      </c>
      <c r="T224" s="1" t="s">
        <v>46</v>
      </c>
      <c r="U224" s="1" t="s">
        <v>61</v>
      </c>
      <c r="V224" s="1" t="s">
        <v>1829</v>
      </c>
      <c r="W224" s="1" t="s">
        <v>35</v>
      </c>
      <c r="X224" s="1" t="s">
        <v>35</v>
      </c>
      <c r="Y224" s="1" t="s">
        <v>49</v>
      </c>
      <c r="Z224" s="1" t="s">
        <v>35</v>
      </c>
      <c r="AA224" s="1" t="s">
        <v>35</v>
      </c>
      <c r="AB224" s="1" t="s">
        <v>35</v>
      </c>
      <c r="AC224" s="1" t="s">
        <v>35</v>
      </c>
      <c r="AD224" s="1" t="s">
        <v>35</v>
      </c>
      <c r="AE224" s="1" t="s">
        <v>1830</v>
      </c>
      <c r="AF224" s="1" t="s">
        <v>1831</v>
      </c>
    </row>
    <row r="225" spans="1:32" x14ac:dyDescent="0.25">
      <c r="A225" s="1" t="s">
        <v>50</v>
      </c>
      <c r="B225" s="1" t="s">
        <v>1832</v>
      </c>
      <c r="C225" s="1" t="s">
        <v>1833</v>
      </c>
      <c r="D225" s="1" t="s">
        <v>1834</v>
      </c>
      <c r="E225" s="24">
        <v>45917</v>
      </c>
      <c r="F225" s="2" t="s">
        <v>103</v>
      </c>
      <c r="G225" s="1" t="s">
        <v>349</v>
      </c>
      <c r="H225" s="1" t="s">
        <v>36</v>
      </c>
      <c r="I225" s="1" t="s">
        <v>37</v>
      </c>
      <c r="J225" s="1" t="s">
        <v>38</v>
      </c>
      <c r="K225" s="1" t="s">
        <v>55</v>
      </c>
      <c r="L225" s="1" t="s">
        <v>176</v>
      </c>
      <c r="M225" s="1" t="s">
        <v>835</v>
      </c>
      <c r="N225" s="1" t="s">
        <v>42</v>
      </c>
      <c r="O225" s="1" t="s">
        <v>43</v>
      </c>
      <c r="P225" s="1" t="s">
        <v>835</v>
      </c>
      <c r="Q225" s="1" t="s">
        <v>42</v>
      </c>
      <c r="R225" s="1" t="s">
        <v>1402</v>
      </c>
      <c r="S225" s="1" t="s">
        <v>1403</v>
      </c>
      <c r="T225" s="1" t="s">
        <v>46</v>
      </c>
      <c r="U225" s="1" t="s">
        <v>145</v>
      </c>
      <c r="V225" s="1" t="s">
        <v>1835</v>
      </c>
      <c r="W225" s="1" t="s">
        <v>35</v>
      </c>
      <c r="X225" s="1" t="s">
        <v>35</v>
      </c>
      <c r="Y225" s="1" t="s">
        <v>49</v>
      </c>
      <c r="Z225" s="1" t="s">
        <v>35</v>
      </c>
      <c r="AA225" s="1" t="s">
        <v>35</v>
      </c>
      <c r="AB225" s="1" t="s">
        <v>35</v>
      </c>
      <c r="AC225" s="1" t="s">
        <v>35</v>
      </c>
      <c r="AD225" s="1" t="s">
        <v>35</v>
      </c>
      <c r="AE225" s="1" t="s">
        <v>1836</v>
      </c>
      <c r="AF225" s="1" t="s">
        <v>1837</v>
      </c>
    </row>
    <row r="226" spans="1:32" x14ac:dyDescent="0.25">
      <c r="A226" s="1" t="s">
        <v>50</v>
      </c>
      <c r="B226" s="1" t="s">
        <v>1838</v>
      </c>
      <c r="C226" s="1" t="s">
        <v>1839</v>
      </c>
      <c r="D226" s="1" t="s">
        <v>1840</v>
      </c>
      <c r="E226" s="24">
        <v>45917</v>
      </c>
      <c r="F226" s="2" t="s">
        <v>103</v>
      </c>
      <c r="G226" s="1" t="s">
        <v>54</v>
      </c>
      <c r="H226" s="1" t="s">
        <v>36</v>
      </c>
      <c r="I226" s="1" t="s">
        <v>37</v>
      </c>
      <c r="J226" s="1" t="s">
        <v>38</v>
      </c>
      <c r="K226" s="1" t="s">
        <v>55</v>
      </c>
      <c r="L226" s="1" t="s">
        <v>176</v>
      </c>
      <c r="M226" s="1" t="s">
        <v>458</v>
      </c>
      <c r="N226" s="1" t="s">
        <v>42</v>
      </c>
      <c r="O226" s="1" t="s">
        <v>43</v>
      </c>
      <c r="P226" s="1" t="s">
        <v>1841</v>
      </c>
      <c r="Q226" s="1" t="s">
        <v>42</v>
      </c>
      <c r="R226" s="1" t="s">
        <v>1842</v>
      </c>
      <c r="S226" s="1" t="s">
        <v>367</v>
      </c>
      <c r="T226" s="1" t="s">
        <v>60</v>
      </c>
      <c r="U226" s="1" t="s">
        <v>668</v>
      </c>
      <c r="V226" s="1" t="s">
        <v>1843</v>
      </c>
      <c r="W226" s="1" t="s">
        <v>35</v>
      </c>
      <c r="X226" s="1" t="s">
        <v>35</v>
      </c>
      <c r="Y226" s="1" t="s">
        <v>49</v>
      </c>
      <c r="Z226" s="1" t="s">
        <v>35</v>
      </c>
      <c r="AA226" s="1" t="s">
        <v>35</v>
      </c>
      <c r="AB226" s="1" t="s">
        <v>35</v>
      </c>
      <c r="AC226" s="1" t="s">
        <v>35</v>
      </c>
      <c r="AD226" s="1" t="s">
        <v>35</v>
      </c>
      <c r="AE226" s="1" t="s">
        <v>1844</v>
      </c>
      <c r="AF226" s="1" t="s">
        <v>1845</v>
      </c>
    </row>
    <row r="227" spans="1:32" x14ac:dyDescent="0.25">
      <c r="A227" s="1" t="s">
        <v>50</v>
      </c>
      <c r="B227" s="1" t="s">
        <v>1846</v>
      </c>
      <c r="C227" s="1" t="s">
        <v>1847</v>
      </c>
      <c r="D227" s="1" t="s">
        <v>1848</v>
      </c>
      <c r="E227" s="24">
        <v>45917</v>
      </c>
      <c r="F227" s="2" t="s">
        <v>102</v>
      </c>
      <c r="G227" s="1" t="s">
        <v>54</v>
      </c>
      <c r="H227" s="1" t="s">
        <v>36</v>
      </c>
      <c r="I227" s="1" t="s">
        <v>37</v>
      </c>
      <c r="J227" s="1" t="s">
        <v>38</v>
      </c>
      <c r="K227" s="1" t="s">
        <v>55</v>
      </c>
      <c r="L227" s="1" t="s">
        <v>176</v>
      </c>
      <c r="M227" s="1" t="s">
        <v>56</v>
      </c>
      <c r="N227" s="1" t="s">
        <v>42</v>
      </c>
      <c r="O227" s="1" t="s">
        <v>43</v>
      </c>
      <c r="P227" s="1" t="s">
        <v>1144</v>
      </c>
      <c r="Q227" s="1" t="s">
        <v>42</v>
      </c>
      <c r="R227" s="1" t="s">
        <v>1849</v>
      </c>
      <c r="S227" s="1" t="s">
        <v>259</v>
      </c>
      <c r="T227" s="1" t="s">
        <v>60</v>
      </c>
      <c r="U227" s="1" t="s">
        <v>838</v>
      </c>
      <c r="V227" s="1" t="s">
        <v>1850</v>
      </c>
      <c r="W227" s="1" t="s">
        <v>35</v>
      </c>
      <c r="X227" s="1" t="s">
        <v>35</v>
      </c>
      <c r="Y227" s="1" t="s">
        <v>49</v>
      </c>
      <c r="Z227" s="1" t="s">
        <v>35</v>
      </c>
      <c r="AA227" s="1" t="s">
        <v>35</v>
      </c>
      <c r="AB227" s="1" t="s">
        <v>35</v>
      </c>
      <c r="AC227" s="1" t="s">
        <v>35</v>
      </c>
      <c r="AD227" s="1" t="s">
        <v>35</v>
      </c>
      <c r="AE227" s="1" t="s">
        <v>1851</v>
      </c>
      <c r="AF227" s="1" t="s">
        <v>1852</v>
      </c>
    </row>
    <row r="228" spans="1:32" x14ac:dyDescent="0.25">
      <c r="A228" s="1" t="s">
        <v>50</v>
      </c>
      <c r="B228" s="1" t="s">
        <v>1853</v>
      </c>
      <c r="C228" s="1" t="s">
        <v>1854</v>
      </c>
      <c r="D228" s="1" t="s">
        <v>1855</v>
      </c>
      <c r="E228" s="24">
        <v>45917</v>
      </c>
      <c r="F228" s="2" t="s">
        <v>103</v>
      </c>
      <c r="G228" s="1" t="s">
        <v>302</v>
      </c>
      <c r="H228" s="1" t="s">
        <v>36</v>
      </c>
      <c r="I228" s="1" t="s">
        <v>37</v>
      </c>
      <c r="J228" s="1" t="s">
        <v>38</v>
      </c>
      <c r="K228" s="1" t="s">
        <v>55</v>
      </c>
      <c r="L228" s="1" t="s">
        <v>242</v>
      </c>
      <c r="M228" s="1" t="s">
        <v>835</v>
      </c>
      <c r="N228" s="1" t="s">
        <v>42</v>
      </c>
      <c r="O228" s="1" t="s">
        <v>43</v>
      </c>
      <c r="P228" s="1" t="s">
        <v>835</v>
      </c>
      <c r="Q228" s="1" t="s">
        <v>42</v>
      </c>
      <c r="R228" s="1" t="s">
        <v>1856</v>
      </c>
      <c r="S228" s="1" t="s">
        <v>252</v>
      </c>
      <c r="T228" s="1" t="s">
        <v>60</v>
      </c>
      <c r="U228" s="1" t="s">
        <v>145</v>
      </c>
      <c r="V228" s="1" t="s">
        <v>1857</v>
      </c>
      <c r="W228" s="1" t="s">
        <v>35</v>
      </c>
      <c r="X228" s="1" t="s">
        <v>35</v>
      </c>
      <c r="Y228" s="1" t="s">
        <v>49</v>
      </c>
      <c r="Z228" s="1" t="s">
        <v>35</v>
      </c>
      <c r="AA228" s="1" t="s">
        <v>35</v>
      </c>
      <c r="AB228" s="1" t="s">
        <v>35</v>
      </c>
      <c r="AC228" s="1" t="s">
        <v>35</v>
      </c>
      <c r="AD228" s="1" t="s">
        <v>35</v>
      </c>
      <c r="AE228" s="1" t="s">
        <v>1858</v>
      </c>
      <c r="AF228" s="1" t="s">
        <v>1859</v>
      </c>
    </row>
    <row r="229" spans="1:32" x14ac:dyDescent="0.25">
      <c r="A229" s="1" t="s">
        <v>50</v>
      </c>
      <c r="B229" s="1" t="s">
        <v>1860</v>
      </c>
      <c r="C229" s="1" t="s">
        <v>1861</v>
      </c>
      <c r="D229" s="1" t="s">
        <v>1862</v>
      </c>
      <c r="E229" s="24">
        <v>45918</v>
      </c>
      <c r="F229" s="2" t="s">
        <v>102</v>
      </c>
      <c r="G229" s="1" t="s">
        <v>54</v>
      </c>
      <c r="H229" s="1" t="s">
        <v>36</v>
      </c>
      <c r="I229" s="1" t="s">
        <v>37</v>
      </c>
      <c r="J229" s="1" t="s">
        <v>38</v>
      </c>
      <c r="K229" s="1" t="s">
        <v>55</v>
      </c>
      <c r="L229" s="1" t="s">
        <v>40</v>
      </c>
      <c r="M229" s="1" t="s">
        <v>56</v>
      </c>
      <c r="N229" s="1" t="s">
        <v>42</v>
      </c>
      <c r="O229" s="1" t="s">
        <v>43</v>
      </c>
      <c r="P229" s="1" t="s">
        <v>56</v>
      </c>
      <c r="Q229" s="1" t="s">
        <v>42</v>
      </c>
      <c r="R229" s="1" t="s">
        <v>384</v>
      </c>
      <c r="S229" s="1" t="s">
        <v>197</v>
      </c>
      <c r="T229" s="1" t="s">
        <v>60</v>
      </c>
      <c r="U229" s="1" t="s">
        <v>61</v>
      </c>
      <c r="V229" s="1" t="s">
        <v>1863</v>
      </c>
      <c r="W229" s="1" t="s">
        <v>35</v>
      </c>
      <c r="X229" s="1" t="s">
        <v>35</v>
      </c>
      <c r="Y229" s="1" t="s">
        <v>49</v>
      </c>
      <c r="Z229" s="1" t="s">
        <v>35</v>
      </c>
      <c r="AA229" s="1" t="s">
        <v>35</v>
      </c>
      <c r="AB229" s="1" t="s">
        <v>35</v>
      </c>
      <c r="AC229" s="1" t="s">
        <v>1547</v>
      </c>
      <c r="AD229" s="1" t="s">
        <v>1864</v>
      </c>
      <c r="AE229" s="1" t="s">
        <v>1865</v>
      </c>
      <c r="AF229" s="1" t="s">
        <v>1866</v>
      </c>
    </row>
    <row r="230" spans="1:32" x14ac:dyDescent="0.25">
      <c r="A230" s="1" t="s">
        <v>50</v>
      </c>
      <c r="B230" s="1" t="s">
        <v>1867</v>
      </c>
      <c r="C230" s="1" t="s">
        <v>1868</v>
      </c>
      <c r="D230" s="1" t="s">
        <v>1869</v>
      </c>
      <c r="E230" s="24">
        <v>45918</v>
      </c>
      <c r="F230" s="2" t="s">
        <v>102</v>
      </c>
      <c r="G230" s="1" t="s">
        <v>302</v>
      </c>
      <c r="H230" s="1" t="s">
        <v>36</v>
      </c>
      <c r="I230" s="1" t="s">
        <v>37</v>
      </c>
      <c r="J230" s="1" t="s">
        <v>38</v>
      </c>
      <c r="K230" s="1" t="s">
        <v>55</v>
      </c>
      <c r="L230" s="1" t="s">
        <v>242</v>
      </c>
      <c r="M230" s="1" t="s">
        <v>835</v>
      </c>
      <c r="N230" s="1" t="s">
        <v>42</v>
      </c>
      <c r="O230" s="1" t="s">
        <v>43</v>
      </c>
      <c r="P230" s="1" t="s">
        <v>835</v>
      </c>
      <c r="Q230" s="1" t="s">
        <v>42</v>
      </c>
      <c r="R230" s="1" t="s">
        <v>1651</v>
      </c>
      <c r="S230" s="1" t="s">
        <v>89</v>
      </c>
      <c r="T230" s="1" t="s">
        <v>46</v>
      </c>
      <c r="U230" s="1" t="s">
        <v>757</v>
      </c>
      <c r="V230" s="1" t="s">
        <v>1870</v>
      </c>
      <c r="W230" s="1" t="s">
        <v>35</v>
      </c>
      <c r="X230" s="1" t="s">
        <v>35</v>
      </c>
      <c r="Y230" s="1" t="s">
        <v>49</v>
      </c>
      <c r="Z230" s="1" t="s">
        <v>35</v>
      </c>
      <c r="AA230" s="1" t="s">
        <v>35</v>
      </c>
      <c r="AB230" s="1" t="s">
        <v>35</v>
      </c>
      <c r="AC230" s="1" t="s">
        <v>35</v>
      </c>
      <c r="AD230" s="1" t="s">
        <v>35</v>
      </c>
      <c r="AE230" s="1" t="s">
        <v>1871</v>
      </c>
      <c r="AF230" s="1" t="s">
        <v>1872</v>
      </c>
    </row>
    <row r="231" spans="1:32" x14ac:dyDescent="0.25">
      <c r="A231" s="1" t="s">
        <v>65</v>
      </c>
      <c r="B231" s="1" t="s">
        <v>1873</v>
      </c>
      <c r="C231" s="1" t="s">
        <v>1874</v>
      </c>
      <c r="D231" s="1" t="s">
        <v>1875</v>
      </c>
      <c r="E231" s="24">
        <v>45920</v>
      </c>
      <c r="F231" s="2" t="s">
        <v>103</v>
      </c>
      <c r="G231" s="1" t="s">
        <v>54</v>
      </c>
      <c r="H231" s="1" t="s">
        <v>36</v>
      </c>
      <c r="I231" s="1" t="s">
        <v>37</v>
      </c>
      <c r="J231" s="1" t="s">
        <v>38</v>
      </c>
      <c r="K231" s="1" t="s">
        <v>55</v>
      </c>
      <c r="L231" s="1" t="s">
        <v>242</v>
      </c>
      <c r="M231" s="1" t="s">
        <v>1251</v>
      </c>
      <c r="N231" s="1" t="s">
        <v>42</v>
      </c>
      <c r="O231" s="1" t="s">
        <v>43</v>
      </c>
      <c r="P231" s="1" t="s">
        <v>493</v>
      </c>
      <c r="Q231" s="1" t="s">
        <v>42</v>
      </c>
      <c r="R231" s="1" t="s">
        <v>1876</v>
      </c>
      <c r="S231" s="1" t="s">
        <v>1261</v>
      </c>
      <c r="T231" s="1" t="s">
        <v>60</v>
      </c>
      <c r="U231" s="1" t="s">
        <v>145</v>
      </c>
      <c r="V231" s="1" t="s">
        <v>1877</v>
      </c>
      <c r="W231" s="1" t="s">
        <v>35</v>
      </c>
      <c r="X231" s="1" t="s">
        <v>35</v>
      </c>
      <c r="Y231" s="1" t="s">
        <v>49</v>
      </c>
      <c r="Z231" s="1" t="s">
        <v>35</v>
      </c>
      <c r="AA231" s="1" t="s">
        <v>35</v>
      </c>
      <c r="AB231" s="1" t="s">
        <v>35</v>
      </c>
      <c r="AC231" s="1" t="s">
        <v>35</v>
      </c>
      <c r="AD231" s="1" t="s">
        <v>35</v>
      </c>
      <c r="AE231" s="1" t="s">
        <v>1878</v>
      </c>
      <c r="AF231" s="1" t="s">
        <v>1879</v>
      </c>
    </row>
    <row r="232" spans="1:32" x14ac:dyDescent="0.25">
      <c r="A232" s="1" t="s">
        <v>65</v>
      </c>
      <c r="B232" s="1" t="s">
        <v>1880</v>
      </c>
      <c r="C232" s="1" t="s">
        <v>1881</v>
      </c>
      <c r="D232" s="1" t="s">
        <v>1882</v>
      </c>
      <c r="E232" s="24">
        <v>45921</v>
      </c>
      <c r="F232" s="2" t="s">
        <v>102</v>
      </c>
      <c r="G232" s="1" t="s">
        <v>194</v>
      </c>
      <c r="H232" s="1" t="s">
        <v>36</v>
      </c>
      <c r="I232" s="1" t="s">
        <v>37</v>
      </c>
      <c r="J232" s="1" t="s">
        <v>38</v>
      </c>
      <c r="K232" s="1" t="s">
        <v>55</v>
      </c>
      <c r="L232" s="1" t="s">
        <v>176</v>
      </c>
      <c r="M232" s="1" t="s">
        <v>177</v>
      </c>
      <c r="N232" s="1" t="s">
        <v>42</v>
      </c>
      <c r="O232" s="1" t="s">
        <v>43</v>
      </c>
      <c r="P232" s="1" t="s">
        <v>1883</v>
      </c>
      <c r="Q232" s="1" t="s">
        <v>42</v>
      </c>
      <c r="R232" s="1" t="s">
        <v>434</v>
      </c>
      <c r="S232" s="1" t="s">
        <v>367</v>
      </c>
      <c r="T232" s="1" t="s">
        <v>60</v>
      </c>
      <c r="U232" s="1" t="s">
        <v>61</v>
      </c>
      <c r="V232" s="1" t="s">
        <v>1884</v>
      </c>
      <c r="W232" s="1" t="s">
        <v>35</v>
      </c>
      <c r="X232" s="1" t="s">
        <v>35</v>
      </c>
      <c r="Y232" s="1" t="s">
        <v>49</v>
      </c>
      <c r="Z232" s="1" t="s">
        <v>35</v>
      </c>
      <c r="AA232" s="1" t="s">
        <v>35</v>
      </c>
      <c r="AB232" s="1" t="s">
        <v>35</v>
      </c>
      <c r="AC232" s="1" t="s">
        <v>35</v>
      </c>
      <c r="AD232" s="1" t="s">
        <v>35</v>
      </c>
      <c r="AE232" s="1" t="s">
        <v>1885</v>
      </c>
      <c r="AF232" s="1" t="s">
        <v>1886</v>
      </c>
    </row>
    <row r="233" spans="1:32" x14ac:dyDescent="0.25">
      <c r="A233" s="1" t="s">
        <v>65</v>
      </c>
      <c r="B233" s="1" t="s">
        <v>1887</v>
      </c>
      <c r="C233" s="1" t="s">
        <v>1888</v>
      </c>
      <c r="D233" s="1" t="s">
        <v>1889</v>
      </c>
      <c r="E233" s="24">
        <v>45921</v>
      </c>
      <c r="F233" s="2" t="s">
        <v>102</v>
      </c>
      <c r="G233" s="1" t="s">
        <v>35</v>
      </c>
      <c r="H233" s="1" t="s">
        <v>36</v>
      </c>
      <c r="I233" s="1" t="s">
        <v>37</v>
      </c>
      <c r="J233" s="1" t="s">
        <v>38</v>
      </c>
      <c r="K233" s="1" t="s">
        <v>55</v>
      </c>
      <c r="L233" s="1" t="s">
        <v>485</v>
      </c>
      <c r="M233" s="1" t="s">
        <v>1890</v>
      </c>
      <c r="N233" s="1" t="s">
        <v>42</v>
      </c>
      <c r="O233" s="1" t="s">
        <v>43</v>
      </c>
      <c r="P233" s="1" t="s">
        <v>56</v>
      </c>
      <c r="Q233" s="1" t="s">
        <v>42</v>
      </c>
      <c r="R233" s="1" t="s">
        <v>1348</v>
      </c>
      <c r="S233" s="1" t="s">
        <v>59</v>
      </c>
      <c r="T233" s="1" t="s">
        <v>60</v>
      </c>
      <c r="U233" s="1" t="s">
        <v>61</v>
      </c>
      <c r="V233" s="1" t="s">
        <v>1891</v>
      </c>
      <c r="W233" s="1" t="s">
        <v>35</v>
      </c>
      <c r="X233" s="1" t="s">
        <v>35</v>
      </c>
      <c r="Y233" s="1" t="s">
        <v>49</v>
      </c>
      <c r="Z233" s="1" t="s">
        <v>35</v>
      </c>
      <c r="AA233" s="1" t="s">
        <v>35</v>
      </c>
      <c r="AB233" s="1" t="s">
        <v>35</v>
      </c>
      <c r="AC233" s="1" t="s">
        <v>35</v>
      </c>
      <c r="AD233" s="1" t="s">
        <v>35</v>
      </c>
      <c r="AE233" s="1" t="s">
        <v>1892</v>
      </c>
      <c r="AF233" s="1" t="s">
        <v>1893</v>
      </c>
    </row>
    <row r="234" spans="1:32" x14ac:dyDescent="0.25">
      <c r="A234" s="1" t="s">
        <v>50</v>
      </c>
      <c r="B234" s="1" t="s">
        <v>1894</v>
      </c>
      <c r="C234" s="1" t="s">
        <v>1895</v>
      </c>
      <c r="D234" s="1" t="s">
        <v>1896</v>
      </c>
      <c r="E234" s="24">
        <v>45922</v>
      </c>
      <c r="F234" s="2" t="s">
        <v>102</v>
      </c>
      <c r="G234" s="1" t="s">
        <v>302</v>
      </c>
      <c r="H234" s="1" t="s">
        <v>36</v>
      </c>
      <c r="I234" s="1" t="s">
        <v>37</v>
      </c>
      <c r="J234" s="1" t="s">
        <v>38</v>
      </c>
      <c r="K234" s="1" t="s">
        <v>55</v>
      </c>
      <c r="L234" s="1" t="s">
        <v>242</v>
      </c>
      <c r="M234" s="1" t="s">
        <v>119</v>
      </c>
      <c r="N234" s="1" t="s">
        <v>42</v>
      </c>
      <c r="O234" s="1" t="s">
        <v>43</v>
      </c>
      <c r="P234" s="1" t="s">
        <v>860</v>
      </c>
      <c r="Q234" s="1" t="s">
        <v>42</v>
      </c>
      <c r="R234" s="1" t="s">
        <v>1897</v>
      </c>
      <c r="S234" s="1" t="s">
        <v>214</v>
      </c>
      <c r="T234" s="1" t="s">
        <v>46</v>
      </c>
      <c r="U234" s="1" t="s">
        <v>61</v>
      </c>
      <c r="V234" s="1" t="s">
        <v>1898</v>
      </c>
      <c r="W234" s="1" t="s">
        <v>35</v>
      </c>
      <c r="X234" s="1" t="s">
        <v>35</v>
      </c>
      <c r="Y234" s="1" t="s">
        <v>49</v>
      </c>
      <c r="Z234" s="1" t="s">
        <v>35</v>
      </c>
      <c r="AA234" s="1" t="s">
        <v>35</v>
      </c>
      <c r="AB234" s="1" t="s">
        <v>35</v>
      </c>
      <c r="AC234" s="1" t="s">
        <v>35</v>
      </c>
      <c r="AD234" s="1" t="s">
        <v>35</v>
      </c>
      <c r="AE234" s="1" t="s">
        <v>1899</v>
      </c>
      <c r="AF234" s="1" t="s">
        <v>1900</v>
      </c>
    </row>
    <row r="235" spans="1:32" x14ac:dyDescent="0.25">
      <c r="A235" s="1" t="s">
        <v>65</v>
      </c>
      <c r="B235" s="1" t="s">
        <v>1901</v>
      </c>
      <c r="C235" s="1" t="s">
        <v>1902</v>
      </c>
      <c r="D235" s="1" t="s">
        <v>1903</v>
      </c>
      <c r="E235" s="24">
        <v>45922</v>
      </c>
      <c r="F235" s="2" t="s">
        <v>102</v>
      </c>
      <c r="G235" s="1" t="s">
        <v>194</v>
      </c>
      <c r="H235" s="1" t="s">
        <v>36</v>
      </c>
      <c r="I235" s="1" t="s">
        <v>37</v>
      </c>
      <c r="J235" s="1" t="s">
        <v>38</v>
      </c>
      <c r="K235" s="1" t="s">
        <v>55</v>
      </c>
      <c r="L235" s="1" t="s">
        <v>176</v>
      </c>
      <c r="M235" s="1" t="s">
        <v>177</v>
      </c>
      <c r="N235" s="1" t="s">
        <v>42</v>
      </c>
      <c r="O235" s="1" t="s">
        <v>43</v>
      </c>
      <c r="P235" s="1" t="s">
        <v>860</v>
      </c>
      <c r="Q235" s="1" t="s">
        <v>42</v>
      </c>
      <c r="R235" s="1" t="s">
        <v>912</v>
      </c>
      <c r="S235" s="1" t="s">
        <v>586</v>
      </c>
      <c r="T235" s="1" t="s">
        <v>60</v>
      </c>
      <c r="U235" s="1" t="s">
        <v>61</v>
      </c>
      <c r="V235" s="1" t="s">
        <v>1904</v>
      </c>
      <c r="W235" s="1" t="s">
        <v>35</v>
      </c>
      <c r="X235" s="1" t="s">
        <v>35</v>
      </c>
      <c r="Y235" s="1" t="s">
        <v>49</v>
      </c>
      <c r="Z235" s="1" t="s">
        <v>35</v>
      </c>
      <c r="AA235" s="1" t="s">
        <v>35</v>
      </c>
      <c r="AB235" s="1" t="s">
        <v>35</v>
      </c>
      <c r="AC235" s="1" t="s">
        <v>35</v>
      </c>
      <c r="AD235" s="1" t="s">
        <v>35</v>
      </c>
      <c r="AE235" s="1" t="s">
        <v>1905</v>
      </c>
      <c r="AF235" s="1" t="s">
        <v>1906</v>
      </c>
    </row>
    <row r="236" spans="1:32" x14ac:dyDescent="0.25">
      <c r="A236" s="1" t="s">
        <v>50</v>
      </c>
      <c r="B236" s="1" t="s">
        <v>1907</v>
      </c>
      <c r="C236" s="1" t="s">
        <v>1908</v>
      </c>
      <c r="D236" s="1" t="s">
        <v>1909</v>
      </c>
      <c r="E236" s="24">
        <v>45922</v>
      </c>
      <c r="F236" s="2" t="s">
        <v>39</v>
      </c>
      <c r="G236" s="1" t="s">
        <v>54</v>
      </c>
      <c r="H236" s="1" t="s">
        <v>36</v>
      </c>
      <c r="I236" s="1" t="s">
        <v>37</v>
      </c>
      <c r="J236" s="1" t="s">
        <v>38</v>
      </c>
      <c r="K236" s="1" t="s">
        <v>39</v>
      </c>
      <c r="L236" s="1" t="s">
        <v>242</v>
      </c>
      <c r="M236" s="1" t="s">
        <v>683</v>
      </c>
      <c r="N236" s="1" t="s">
        <v>42</v>
      </c>
      <c r="O236" s="1" t="s">
        <v>43</v>
      </c>
      <c r="P236" s="1" t="s">
        <v>683</v>
      </c>
      <c r="Q236" s="1" t="s">
        <v>42</v>
      </c>
      <c r="R236" s="1" t="s">
        <v>1910</v>
      </c>
      <c r="S236" s="1" t="s">
        <v>111</v>
      </c>
      <c r="T236" s="1" t="s">
        <v>46</v>
      </c>
      <c r="U236" s="1" t="s">
        <v>81</v>
      </c>
      <c r="V236" s="1" t="s">
        <v>1911</v>
      </c>
      <c r="W236" s="1" t="s">
        <v>35</v>
      </c>
      <c r="X236" s="1" t="s">
        <v>35</v>
      </c>
      <c r="Y236" s="1" t="s">
        <v>49</v>
      </c>
      <c r="Z236" s="1" t="s">
        <v>35</v>
      </c>
      <c r="AA236" s="1" t="s">
        <v>35</v>
      </c>
      <c r="AB236" s="1" t="s">
        <v>35</v>
      </c>
      <c r="AC236" s="1" t="s">
        <v>35</v>
      </c>
      <c r="AD236" s="1" t="s">
        <v>35</v>
      </c>
      <c r="AE236" s="1" t="s">
        <v>1912</v>
      </c>
      <c r="AF236" s="1" t="s">
        <v>1913</v>
      </c>
    </row>
    <row r="237" spans="1:32" x14ac:dyDescent="0.25">
      <c r="A237" s="1" t="s">
        <v>50</v>
      </c>
      <c r="B237" s="1" t="s">
        <v>1914</v>
      </c>
      <c r="C237" s="1" t="s">
        <v>1915</v>
      </c>
      <c r="D237" s="1" t="s">
        <v>1916</v>
      </c>
      <c r="E237" s="24">
        <v>45922</v>
      </c>
      <c r="F237" s="2" t="s">
        <v>103</v>
      </c>
      <c r="G237" s="1" t="s">
        <v>54</v>
      </c>
      <c r="H237" s="1" t="s">
        <v>36</v>
      </c>
      <c r="I237" s="1" t="s">
        <v>37</v>
      </c>
      <c r="J237" s="1" t="s">
        <v>38</v>
      </c>
      <c r="K237" s="1" t="s">
        <v>55</v>
      </c>
      <c r="L237" s="1" t="s">
        <v>69</v>
      </c>
      <c r="M237" s="1" t="s">
        <v>56</v>
      </c>
      <c r="N237" s="1" t="s">
        <v>42</v>
      </c>
      <c r="O237" s="1" t="s">
        <v>43</v>
      </c>
      <c r="P237" s="1" t="s">
        <v>56</v>
      </c>
      <c r="Q237" s="1" t="s">
        <v>42</v>
      </c>
      <c r="R237" s="1" t="s">
        <v>1917</v>
      </c>
      <c r="S237" s="1" t="s">
        <v>1706</v>
      </c>
      <c r="T237" s="1" t="s">
        <v>46</v>
      </c>
      <c r="U237" s="1" t="s">
        <v>61</v>
      </c>
      <c r="V237" s="1" t="s">
        <v>1918</v>
      </c>
      <c r="W237" s="1" t="s">
        <v>35</v>
      </c>
      <c r="X237" s="1" t="s">
        <v>35</v>
      </c>
      <c r="Y237" s="1" t="s">
        <v>49</v>
      </c>
      <c r="Z237" s="1" t="s">
        <v>35</v>
      </c>
      <c r="AA237" s="1" t="s">
        <v>35</v>
      </c>
      <c r="AB237" s="1" t="s">
        <v>35</v>
      </c>
      <c r="AC237" s="1" t="s">
        <v>35</v>
      </c>
      <c r="AD237" s="1" t="s">
        <v>35</v>
      </c>
      <c r="AE237" s="1" t="s">
        <v>1919</v>
      </c>
      <c r="AF237" s="1" t="s">
        <v>1920</v>
      </c>
    </row>
    <row r="238" spans="1:32" x14ac:dyDescent="0.25">
      <c r="A238" s="1" t="s">
        <v>65</v>
      </c>
      <c r="B238" s="1" t="s">
        <v>1921</v>
      </c>
      <c r="C238" s="1" t="s">
        <v>1922</v>
      </c>
      <c r="D238" s="1" t="s">
        <v>1923</v>
      </c>
      <c r="E238" s="24">
        <v>45922</v>
      </c>
      <c r="F238" s="2" t="s">
        <v>102</v>
      </c>
      <c r="G238" s="1" t="s">
        <v>54</v>
      </c>
      <c r="H238" s="1" t="s">
        <v>36</v>
      </c>
      <c r="I238" s="1" t="s">
        <v>37</v>
      </c>
      <c r="J238" s="1" t="s">
        <v>38</v>
      </c>
      <c r="K238" s="1" t="s">
        <v>55</v>
      </c>
      <c r="L238" s="1" t="s">
        <v>176</v>
      </c>
      <c r="M238" s="1" t="s">
        <v>56</v>
      </c>
      <c r="N238" s="1" t="s">
        <v>42</v>
      </c>
      <c r="O238" s="1" t="s">
        <v>43</v>
      </c>
      <c r="P238" s="1" t="s">
        <v>158</v>
      </c>
      <c r="Q238" s="1" t="s">
        <v>42</v>
      </c>
      <c r="R238" s="1" t="s">
        <v>1924</v>
      </c>
      <c r="S238" s="1" t="s">
        <v>904</v>
      </c>
      <c r="T238" s="1" t="s">
        <v>60</v>
      </c>
      <c r="U238" s="1" t="s">
        <v>757</v>
      </c>
      <c r="V238" s="1" t="s">
        <v>1925</v>
      </c>
      <c r="W238" s="1" t="s">
        <v>35</v>
      </c>
      <c r="X238" s="1" t="s">
        <v>35</v>
      </c>
      <c r="Y238" s="1" t="s">
        <v>49</v>
      </c>
      <c r="Z238" s="1" t="s">
        <v>35</v>
      </c>
      <c r="AA238" s="1" t="s">
        <v>35</v>
      </c>
      <c r="AB238" s="1" t="s">
        <v>35</v>
      </c>
      <c r="AC238" s="1" t="s">
        <v>587</v>
      </c>
      <c r="AD238" s="1" t="s">
        <v>1926</v>
      </c>
      <c r="AE238" s="1" t="s">
        <v>1927</v>
      </c>
      <c r="AF238" s="1" t="s">
        <v>1928</v>
      </c>
    </row>
    <row r="239" spans="1:32" x14ac:dyDescent="0.25">
      <c r="A239" s="1" t="s">
        <v>50</v>
      </c>
      <c r="B239" s="1" t="s">
        <v>1929</v>
      </c>
      <c r="C239" s="1" t="s">
        <v>1930</v>
      </c>
      <c r="D239" s="1" t="s">
        <v>1931</v>
      </c>
      <c r="E239" s="24">
        <v>45924</v>
      </c>
      <c r="F239" s="2" t="s">
        <v>103</v>
      </c>
      <c r="G239" s="1" t="s">
        <v>302</v>
      </c>
      <c r="H239" s="1" t="s">
        <v>36</v>
      </c>
      <c r="I239" s="1" t="s">
        <v>37</v>
      </c>
      <c r="J239" s="1" t="s">
        <v>38</v>
      </c>
      <c r="K239" s="1" t="s">
        <v>55</v>
      </c>
      <c r="L239" s="1" t="s">
        <v>485</v>
      </c>
      <c r="M239" s="1" t="s">
        <v>433</v>
      </c>
      <c r="N239" s="1" t="s">
        <v>42</v>
      </c>
      <c r="O239" s="1" t="s">
        <v>43</v>
      </c>
      <c r="P239" s="1" t="s">
        <v>1468</v>
      </c>
      <c r="Q239" s="1" t="s">
        <v>42</v>
      </c>
      <c r="R239" s="1" t="s">
        <v>1932</v>
      </c>
      <c r="S239" s="1" t="s">
        <v>1659</v>
      </c>
      <c r="T239" s="1" t="s">
        <v>46</v>
      </c>
      <c r="U239" s="1" t="s">
        <v>145</v>
      </c>
      <c r="V239" s="1" t="s">
        <v>1933</v>
      </c>
      <c r="W239" s="1" t="s">
        <v>35</v>
      </c>
      <c r="X239" s="1" t="s">
        <v>35</v>
      </c>
      <c r="Y239" s="1" t="s">
        <v>49</v>
      </c>
      <c r="Z239" s="1" t="s">
        <v>35</v>
      </c>
      <c r="AA239" s="1" t="s">
        <v>35</v>
      </c>
      <c r="AB239" s="1" t="s">
        <v>35</v>
      </c>
      <c r="AC239" s="1" t="s">
        <v>127</v>
      </c>
      <c r="AD239" s="1" t="s">
        <v>1934</v>
      </c>
      <c r="AE239" s="1" t="s">
        <v>1935</v>
      </c>
      <c r="AF239" s="1" t="s">
        <v>1936</v>
      </c>
    </row>
    <row r="240" spans="1:32" x14ac:dyDescent="0.25">
      <c r="A240" s="1" t="s">
        <v>105</v>
      </c>
      <c r="B240" s="1" t="s">
        <v>1937</v>
      </c>
      <c r="C240" s="1" t="s">
        <v>1938</v>
      </c>
      <c r="D240" s="1" t="s">
        <v>1939</v>
      </c>
      <c r="E240" s="24">
        <v>45925</v>
      </c>
      <c r="F240" s="2" t="s">
        <v>39</v>
      </c>
      <c r="G240" s="1" t="s">
        <v>54</v>
      </c>
      <c r="H240" s="1" t="s">
        <v>36</v>
      </c>
      <c r="I240" s="1" t="s">
        <v>37</v>
      </c>
      <c r="J240" s="1" t="s">
        <v>38</v>
      </c>
      <c r="K240" s="1" t="s">
        <v>1940</v>
      </c>
      <c r="L240" s="1" t="s">
        <v>807</v>
      </c>
      <c r="M240" s="1" t="s">
        <v>119</v>
      </c>
      <c r="N240" s="1" t="s">
        <v>42</v>
      </c>
      <c r="O240" s="1" t="s">
        <v>43</v>
      </c>
      <c r="P240" s="1" t="s">
        <v>1941</v>
      </c>
      <c r="Q240" s="1" t="s">
        <v>1942</v>
      </c>
      <c r="R240" s="1" t="s">
        <v>1943</v>
      </c>
      <c r="S240" s="1" t="s">
        <v>502</v>
      </c>
      <c r="T240" s="1" t="s">
        <v>60</v>
      </c>
      <c r="U240" s="1" t="s">
        <v>112</v>
      </c>
      <c r="V240" s="1" t="s">
        <v>1944</v>
      </c>
      <c r="W240" s="1" t="s">
        <v>35</v>
      </c>
      <c r="X240" s="1" t="s">
        <v>35</v>
      </c>
      <c r="Y240" s="1" t="s">
        <v>104</v>
      </c>
      <c r="Z240" s="1" t="s">
        <v>35</v>
      </c>
      <c r="AA240" s="1" t="s">
        <v>35</v>
      </c>
      <c r="AB240" s="1" t="s">
        <v>35</v>
      </c>
      <c r="AC240" s="1" t="s">
        <v>35</v>
      </c>
      <c r="AD240" s="1" t="s">
        <v>35</v>
      </c>
      <c r="AE240" s="1" t="s">
        <v>35</v>
      </c>
      <c r="AF240" s="1" t="s">
        <v>35</v>
      </c>
    </row>
    <row r="241" spans="1:32" x14ac:dyDescent="0.25">
      <c r="A241" s="1" t="s">
        <v>50</v>
      </c>
      <c r="B241" s="1" t="s">
        <v>1945</v>
      </c>
      <c r="C241" s="1" t="s">
        <v>1946</v>
      </c>
      <c r="D241" s="1" t="s">
        <v>1947</v>
      </c>
      <c r="E241" s="24">
        <v>45925</v>
      </c>
      <c r="F241" s="2" t="s">
        <v>39</v>
      </c>
      <c r="G241" s="1" t="s">
        <v>302</v>
      </c>
      <c r="H241" s="1" t="s">
        <v>36</v>
      </c>
      <c r="I241" s="1" t="s">
        <v>37</v>
      </c>
      <c r="J241" s="1" t="s">
        <v>38</v>
      </c>
      <c r="K241" s="1" t="s">
        <v>39</v>
      </c>
      <c r="L241" s="1" t="s">
        <v>242</v>
      </c>
      <c r="M241" s="1" t="s">
        <v>119</v>
      </c>
      <c r="N241" s="1" t="s">
        <v>42</v>
      </c>
      <c r="O241" s="1" t="s">
        <v>43</v>
      </c>
      <c r="P241" s="1" t="s">
        <v>407</v>
      </c>
      <c r="Q241" s="1" t="s">
        <v>42</v>
      </c>
      <c r="R241" s="1" t="s">
        <v>1932</v>
      </c>
      <c r="S241" s="1" t="s">
        <v>1659</v>
      </c>
      <c r="T241" s="1" t="s">
        <v>46</v>
      </c>
      <c r="U241" s="1" t="s">
        <v>145</v>
      </c>
      <c r="V241" s="1" t="s">
        <v>1948</v>
      </c>
      <c r="W241" s="1" t="s">
        <v>35</v>
      </c>
      <c r="X241" s="1" t="s">
        <v>35</v>
      </c>
      <c r="Y241" s="1" t="s">
        <v>49</v>
      </c>
      <c r="Z241" s="1" t="s">
        <v>35</v>
      </c>
      <c r="AA241" s="1" t="s">
        <v>35</v>
      </c>
      <c r="AB241" s="1" t="s">
        <v>35</v>
      </c>
      <c r="AC241" s="1" t="s">
        <v>127</v>
      </c>
      <c r="AD241" s="1" t="s">
        <v>1949</v>
      </c>
      <c r="AE241" s="1" t="s">
        <v>1950</v>
      </c>
      <c r="AF241" s="1" t="s">
        <v>1951</v>
      </c>
    </row>
    <row r="242" spans="1:32" x14ac:dyDescent="0.25">
      <c r="A242" s="1" t="s">
        <v>50</v>
      </c>
      <c r="B242" s="1" t="s">
        <v>1952</v>
      </c>
      <c r="C242" s="1" t="s">
        <v>1953</v>
      </c>
      <c r="D242" s="1" t="s">
        <v>1954</v>
      </c>
      <c r="E242" s="24">
        <v>45926</v>
      </c>
      <c r="F242" s="2" t="s">
        <v>103</v>
      </c>
      <c r="G242" s="1" t="s">
        <v>302</v>
      </c>
      <c r="H242" s="1" t="s">
        <v>36</v>
      </c>
      <c r="I242" s="1" t="s">
        <v>37</v>
      </c>
      <c r="J242" s="1" t="s">
        <v>38</v>
      </c>
      <c r="K242" s="1" t="s">
        <v>55</v>
      </c>
      <c r="L242" s="1" t="s">
        <v>40</v>
      </c>
      <c r="M242" s="1" t="s">
        <v>835</v>
      </c>
      <c r="N242" s="1" t="s">
        <v>42</v>
      </c>
      <c r="O242" s="1" t="s">
        <v>43</v>
      </c>
      <c r="P242" s="1" t="s">
        <v>177</v>
      </c>
      <c r="Q242" s="1" t="s">
        <v>42</v>
      </c>
      <c r="R242" s="1" t="s">
        <v>815</v>
      </c>
      <c r="S242" s="1" t="s">
        <v>816</v>
      </c>
      <c r="T242" s="1" t="s">
        <v>46</v>
      </c>
      <c r="U242" s="1" t="s">
        <v>145</v>
      </c>
      <c r="V242" s="1" t="s">
        <v>1955</v>
      </c>
      <c r="W242" s="1" t="s">
        <v>35</v>
      </c>
      <c r="X242" s="1" t="s">
        <v>35</v>
      </c>
      <c r="Y242" s="1" t="s">
        <v>49</v>
      </c>
      <c r="Z242" s="1" t="s">
        <v>35</v>
      </c>
      <c r="AA242" s="1" t="s">
        <v>35</v>
      </c>
      <c r="AB242" s="1" t="s">
        <v>35</v>
      </c>
      <c r="AC242" s="1" t="s">
        <v>35</v>
      </c>
      <c r="AD242" s="1" t="s">
        <v>35</v>
      </c>
      <c r="AE242" s="1" t="s">
        <v>1956</v>
      </c>
      <c r="AF242" s="1" t="s">
        <v>1957</v>
      </c>
    </row>
    <row r="243" spans="1:32" x14ac:dyDescent="0.25">
      <c r="A243" s="1" t="s">
        <v>65</v>
      </c>
      <c r="B243" s="1" t="s">
        <v>1958</v>
      </c>
      <c r="C243" s="1" t="s">
        <v>1959</v>
      </c>
      <c r="D243" s="1" t="s">
        <v>1960</v>
      </c>
      <c r="E243" s="24">
        <v>45927</v>
      </c>
      <c r="F243" s="2" t="s">
        <v>102</v>
      </c>
      <c r="G243" s="1" t="s">
        <v>194</v>
      </c>
      <c r="H243" s="1" t="s">
        <v>36</v>
      </c>
      <c r="I243" s="1" t="s">
        <v>37</v>
      </c>
      <c r="J243" s="1" t="s">
        <v>432</v>
      </c>
      <c r="K243" s="1" t="s">
        <v>55</v>
      </c>
      <c r="L243" s="1" t="s">
        <v>432</v>
      </c>
      <c r="M243" s="1" t="s">
        <v>1554</v>
      </c>
      <c r="N243" s="1" t="s">
        <v>42</v>
      </c>
      <c r="O243" s="1" t="s">
        <v>43</v>
      </c>
      <c r="P243" s="1" t="s">
        <v>1554</v>
      </c>
      <c r="Q243" s="1" t="s">
        <v>42</v>
      </c>
      <c r="R243" s="1" t="s">
        <v>1961</v>
      </c>
      <c r="S243" s="1" t="s">
        <v>144</v>
      </c>
      <c r="T243" s="1" t="s">
        <v>60</v>
      </c>
      <c r="U243" s="1" t="s">
        <v>61</v>
      </c>
      <c r="V243" s="1" t="s">
        <v>1962</v>
      </c>
      <c r="W243" s="1" t="s">
        <v>35</v>
      </c>
      <c r="X243" s="1" t="s">
        <v>35</v>
      </c>
      <c r="Y243" s="1" t="s">
        <v>49</v>
      </c>
      <c r="Z243" s="1" t="s">
        <v>35</v>
      </c>
      <c r="AA243" s="1" t="s">
        <v>35</v>
      </c>
      <c r="AB243" s="1" t="s">
        <v>35</v>
      </c>
      <c r="AC243" s="1" t="s">
        <v>35</v>
      </c>
      <c r="AD243" s="1" t="s">
        <v>35</v>
      </c>
      <c r="AE243" s="1" t="s">
        <v>1963</v>
      </c>
      <c r="AF243" s="1" t="s">
        <v>1964</v>
      </c>
    </row>
    <row r="244" spans="1:32" x14ac:dyDescent="0.25">
      <c r="A244" s="1" t="s">
        <v>50</v>
      </c>
      <c r="B244" s="1" t="s">
        <v>1965</v>
      </c>
      <c r="C244" s="1" t="s">
        <v>1966</v>
      </c>
      <c r="D244" s="1" t="s">
        <v>1967</v>
      </c>
      <c r="E244" s="24">
        <v>45928</v>
      </c>
      <c r="F244" s="2" t="s">
        <v>103</v>
      </c>
      <c r="G244" s="1" t="s">
        <v>302</v>
      </c>
      <c r="H244" s="1" t="s">
        <v>36</v>
      </c>
      <c r="I244" s="1" t="s">
        <v>37</v>
      </c>
      <c r="J244" s="1" t="s">
        <v>38</v>
      </c>
      <c r="K244" s="1" t="s">
        <v>55</v>
      </c>
      <c r="L244" s="1" t="s">
        <v>40</v>
      </c>
      <c r="M244" s="1" t="s">
        <v>835</v>
      </c>
      <c r="N244" s="1" t="s">
        <v>42</v>
      </c>
      <c r="O244" s="1" t="s">
        <v>43</v>
      </c>
      <c r="P244" s="1" t="s">
        <v>835</v>
      </c>
      <c r="Q244" s="1" t="s">
        <v>42</v>
      </c>
      <c r="R244" s="1" t="s">
        <v>1968</v>
      </c>
      <c r="S244" s="1" t="s">
        <v>322</v>
      </c>
      <c r="T244" s="1" t="s">
        <v>46</v>
      </c>
      <c r="U244" s="1" t="s">
        <v>145</v>
      </c>
      <c r="V244" s="1" t="s">
        <v>1969</v>
      </c>
      <c r="W244" s="1" t="s">
        <v>35</v>
      </c>
      <c r="X244" s="1" t="s">
        <v>35</v>
      </c>
      <c r="Y244" s="1" t="s">
        <v>49</v>
      </c>
      <c r="Z244" s="1" t="s">
        <v>35</v>
      </c>
      <c r="AA244" s="1" t="s">
        <v>35</v>
      </c>
      <c r="AB244" s="1" t="s">
        <v>35</v>
      </c>
      <c r="AC244" s="1" t="s">
        <v>35</v>
      </c>
      <c r="AD244" s="1" t="s">
        <v>35</v>
      </c>
      <c r="AE244" s="1" t="s">
        <v>1970</v>
      </c>
      <c r="AF244" s="1" t="s">
        <v>1971</v>
      </c>
    </row>
    <row r="245" spans="1:32" x14ac:dyDescent="0.25">
      <c r="A245" s="1" t="s">
        <v>65</v>
      </c>
      <c r="B245" s="1" t="s">
        <v>1972</v>
      </c>
      <c r="C245" s="1" t="s">
        <v>1973</v>
      </c>
      <c r="D245" s="1" t="s">
        <v>1974</v>
      </c>
      <c r="E245" s="24">
        <v>45928</v>
      </c>
      <c r="F245" s="2" t="s">
        <v>103</v>
      </c>
      <c r="G245" s="1" t="s">
        <v>54</v>
      </c>
      <c r="H245" s="1" t="s">
        <v>36</v>
      </c>
      <c r="I245" s="1" t="s">
        <v>37</v>
      </c>
      <c r="J245" s="1" t="s">
        <v>38</v>
      </c>
      <c r="K245" s="1" t="s">
        <v>55</v>
      </c>
      <c r="L245" s="1" t="s">
        <v>242</v>
      </c>
      <c r="M245" s="1" t="s">
        <v>119</v>
      </c>
      <c r="N245" s="1" t="s">
        <v>42</v>
      </c>
      <c r="O245" s="1" t="s">
        <v>43</v>
      </c>
      <c r="P245" s="1" t="s">
        <v>1975</v>
      </c>
      <c r="Q245" s="1" t="s">
        <v>42</v>
      </c>
      <c r="R245" s="1" t="s">
        <v>434</v>
      </c>
      <c r="S245" s="1" t="s">
        <v>367</v>
      </c>
      <c r="T245" s="1" t="s">
        <v>60</v>
      </c>
      <c r="U245" s="1" t="s">
        <v>145</v>
      </c>
      <c r="V245" s="1" t="s">
        <v>1976</v>
      </c>
      <c r="W245" s="1" t="s">
        <v>35</v>
      </c>
      <c r="X245" s="1" t="s">
        <v>35</v>
      </c>
      <c r="Y245" s="1" t="s">
        <v>49</v>
      </c>
      <c r="Z245" s="1" t="s">
        <v>35</v>
      </c>
      <c r="AA245" s="1" t="s">
        <v>35</v>
      </c>
      <c r="AB245" s="1" t="s">
        <v>35</v>
      </c>
      <c r="AC245" s="1" t="s">
        <v>35</v>
      </c>
      <c r="AD245" s="1" t="s">
        <v>35</v>
      </c>
      <c r="AE245" s="1" t="s">
        <v>1977</v>
      </c>
      <c r="AF245" s="1" t="s">
        <v>1978</v>
      </c>
    </row>
    <row r="246" spans="1:32" x14ac:dyDescent="0.25">
      <c r="A246" s="1" t="s">
        <v>65</v>
      </c>
      <c r="B246" s="1" t="s">
        <v>1979</v>
      </c>
      <c r="C246" s="1" t="s">
        <v>1980</v>
      </c>
      <c r="D246" s="1" t="s">
        <v>1981</v>
      </c>
      <c r="E246" s="24">
        <v>45928</v>
      </c>
      <c r="F246" s="2" t="s">
        <v>103</v>
      </c>
      <c r="G246" s="1" t="s">
        <v>54</v>
      </c>
      <c r="H246" s="1" t="s">
        <v>36</v>
      </c>
      <c r="I246" s="1" t="s">
        <v>37</v>
      </c>
      <c r="J246" s="1" t="s">
        <v>38</v>
      </c>
      <c r="K246" s="1" t="s">
        <v>55</v>
      </c>
      <c r="L246" s="1" t="s">
        <v>242</v>
      </c>
      <c r="M246" s="1" t="s">
        <v>119</v>
      </c>
      <c r="N246" s="1" t="s">
        <v>42</v>
      </c>
      <c r="O246" s="1" t="s">
        <v>43</v>
      </c>
      <c r="P246" s="1" t="s">
        <v>243</v>
      </c>
      <c r="Q246" s="1" t="s">
        <v>42</v>
      </c>
      <c r="R246" s="1" t="s">
        <v>1982</v>
      </c>
      <c r="S246" s="1" t="s">
        <v>351</v>
      </c>
      <c r="T246" s="1" t="s">
        <v>60</v>
      </c>
      <c r="U246" s="1" t="s">
        <v>145</v>
      </c>
      <c r="V246" s="1" t="s">
        <v>1983</v>
      </c>
      <c r="W246" s="1" t="s">
        <v>35</v>
      </c>
      <c r="X246" s="1" t="s">
        <v>35</v>
      </c>
      <c r="Y246" s="1" t="s">
        <v>49</v>
      </c>
      <c r="Z246" s="1" t="s">
        <v>35</v>
      </c>
      <c r="AA246" s="1" t="s">
        <v>35</v>
      </c>
      <c r="AB246" s="1" t="s">
        <v>35</v>
      </c>
      <c r="AC246" s="1" t="s">
        <v>35</v>
      </c>
      <c r="AD246" s="1" t="s">
        <v>35</v>
      </c>
      <c r="AE246" s="1" t="s">
        <v>1984</v>
      </c>
      <c r="AF246" s="1" t="s">
        <v>1985</v>
      </c>
    </row>
    <row r="247" spans="1:32" x14ac:dyDescent="0.25">
      <c r="A247" s="1" t="s">
        <v>50</v>
      </c>
      <c r="B247" s="1" t="s">
        <v>1986</v>
      </c>
      <c r="C247" s="1" t="s">
        <v>1987</v>
      </c>
      <c r="D247" s="1" t="s">
        <v>1988</v>
      </c>
      <c r="E247" s="24">
        <v>45928</v>
      </c>
      <c r="F247" s="2" t="s">
        <v>102</v>
      </c>
      <c r="G247" s="1" t="s">
        <v>302</v>
      </c>
      <c r="H247" s="1" t="s">
        <v>36</v>
      </c>
      <c r="I247" s="1" t="s">
        <v>37</v>
      </c>
      <c r="J247" s="1" t="s">
        <v>432</v>
      </c>
      <c r="K247" s="1" t="s">
        <v>55</v>
      </c>
      <c r="L247" s="1" t="s">
        <v>69</v>
      </c>
      <c r="M247" s="1" t="s">
        <v>1297</v>
      </c>
      <c r="N247" s="1" t="s">
        <v>42</v>
      </c>
      <c r="O247" s="1" t="s">
        <v>43</v>
      </c>
      <c r="P247" s="1" t="s">
        <v>1297</v>
      </c>
      <c r="Q247" s="1" t="s">
        <v>42</v>
      </c>
      <c r="R247" s="1" t="s">
        <v>1989</v>
      </c>
      <c r="S247" s="1" t="s">
        <v>539</v>
      </c>
      <c r="T247" s="1" t="s">
        <v>60</v>
      </c>
      <c r="U247" s="1" t="s">
        <v>757</v>
      </c>
      <c r="V247" s="1" t="s">
        <v>1990</v>
      </c>
      <c r="W247" s="1" t="s">
        <v>35</v>
      </c>
      <c r="X247" s="1" t="s">
        <v>35</v>
      </c>
      <c r="Y247" s="1" t="s">
        <v>49</v>
      </c>
      <c r="Z247" s="1" t="s">
        <v>35</v>
      </c>
      <c r="AA247" s="1" t="s">
        <v>35</v>
      </c>
      <c r="AB247" s="1" t="s">
        <v>35</v>
      </c>
      <c r="AC247" s="1" t="s">
        <v>35</v>
      </c>
      <c r="AD247" s="1" t="s">
        <v>35</v>
      </c>
      <c r="AE247" s="1" t="s">
        <v>1991</v>
      </c>
      <c r="AF247" s="1" t="s">
        <v>1992</v>
      </c>
    </row>
    <row r="248" spans="1:32" x14ac:dyDescent="0.25">
      <c r="A248" s="1" t="s">
        <v>50</v>
      </c>
      <c r="B248" s="1" t="s">
        <v>1993</v>
      </c>
      <c r="C248" s="1" t="s">
        <v>1994</v>
      </c>
      <c r="D248" s="1" t="s">
        <v>1995</v>
      </c>
      <c r="E248" s="24">
        <v>45928</v>
      </c>
      <c r="F248" s="2" t="s">
        <v>103</v>
      </c>
      <c r="G248" s="1" t="s">
        <v>54</v>
      </c>
      <c r="H248" s="1" t="s">
        <v>36</v>
      </c>
      <c r="I248" s="1" t="s">
        <v>37</v>
      </c>
      <c r="J248" s="1" t="s">
        <v>38</v>
      </c>
      <c r="K248" s="1" t="s">
        <v>55</v>
      </c>
      <c r="L248" s="1" t="s">
        <v>176</v>
      </c>
      <c r="M248" s="1" t="s">
        <v>56</v>
      </c>
      <c r="N248" s="1" t="s">
        <v>42</v>
      </c>
      <c r="O248" s="1" t="s">
        <v>43</v>
      </c>
      <c r="P248" s="1" t="s">
        <v>56</v>
      </c>
      <c r="Q248" s="1" t="s">
        <v>42</v>
      </c>
      <c r="R248" s="1" t="s">
        <v>1996</v>
      </c>
      <c r="S248" s="1" t="s">
        <v>80</v>
      </c>
      <c r="T248" s="1" t="s">
        <v>46</v>
      </c>
      <c r="U248" s="1" t="s">
        <v>1997</v>
      </c>
      <c r="V248" s="1" t="s">
        <v>1998</v>
      </c>
      <c r="W248" s="1" t="s">
        <v>35</v>
      </c>
      <c r="X248" s="1" t="s">
        <v>35</v>
      </c>
      <c r="Y248" s="1" t="s">
        <v>49</v>
      </c>
      <c r="Z248" s="1" t="s">
        <v>35</v>
      </c>
      <c r="AA248" s="1" t="s">
        <v>35</v>
      </c>
      <c r="AB248" s="1" t="s">
        <v>35</v>
      </c>
      <c r="AC248" s="1" t="s">
        <v>35</v>
      </c>
      <c r="AD248" s="1" t="s">
        <v>35</v>
      </c>
      <c r="AE248" s="1" t="s">
        <v>1999</v>
      </c>
      <c r="AF248" s="1" t="s">
        <v>2000</v>
      </c>
    </row>
    <row r="249" spans="1:32" x14ac:dyDescent="0.25">
      <c r="A249" s="1" t="s">
        <v>65</v>
      </c>
      <c r="B249" s="1" t="s">
        <v>2001</v>
      </c>
      <c r="C249" s="1" t="s">
        <v>2002</v>
      </c>
      <c r="D249" s="1" t="s">
        <v>2003</v>
      </c>
      <c r="E249" s="24">
        <v>45928</v>
      </c>
      <c r="F249" s="2" t="s">
        <v>103</v>
      </c>
      <c r="G249" s="1" t="s">
        <v>54</v>
      </c>
      <c r="H249" s="1" t="s">
        <v>36</v>
      </c>
      <c r="I249" s="1" t="s">
        <v>37</v>
      </c>
      <c r="J249" s="1" t="s">
        <v>38</v>
      </c>
      <c r="K249" s="1" t="s">
        <v>55</v>
      </c>
      <c r="L249" s="1" t="s">
        <v>69</v>
      </c>
      <c r="M249" s="1" t="s">
        <v>56</v>
      </c>
      <c r="N249" s="1" t="s">
        <v>42</v>
      </c>
      <c r="O249" s="1" t="s">
        <v>43</v>
      </c>
      <c r="P249" s="1" t="s">
        <v>2004</v>
      </c>
      <c r="Q249" s="1" t="s">
        <v>42</v>
      </c>
      <c r="R249" s="1" t="s">
        <v>601</v>
      </c>
      <c r="S249" s="1" t="s">
        <v>122</v>
      </c>
      <c r="T249" s="1" t="s">
        <v>60</v>
      </c>
      <c r="U249" s="1" t="s">
        <v>145</v>
      </c>
      <c r="V249" s="1" t="s">
        <v>2005</v>
      </c>
      <c r="W249" s="1" t="s">
        <v>35</v>
      </c>
      <c r="X249" s="1" t="s">
        <v>35</v>
      </c>
      <c r="Y249" s="1" t="s">
        <v>49</v>
      </c>
      <c r="Z249" s="1" t="s">
        <v>35</v>
      </c>
      <c r="AA249" s="1" t="s">
        <v>35</v>
      </c>
      <c r="AB249" s="1" t="s">
        <v>35</v>
      </c>
      <c r="AC249" s="1" t="s">
        <v>35</v>
      </c>
      <c r="AD249" s="1" t="s">
        <v>35</v>
      </c>
      <c r="AE249" s="1" t="s">
        <v>2006</v>
      </c>
      <c r="AF249" s="1" t="s">
        <v>2007</v>
      </c>
    </row>
    <row r="250" spans="1:32" x14ac:dyDescent="0.25">
      <c r="A250" s="1" t="s">
        <v>65</v>
      </c>
      <c r="B250" s="1" t="s">
        <v>2008</v>
      </c>
      <c r="C250" s="1" t="s">
        <v>2009</v>
      </c>
      <c r="D250" s="1" t="s">
        <v>2010</v>
      </c>
      <c r="E250" s="24">
        <v>45930</v>
      </c>
      <c r="F250" s="2" t="s">
        <v>103</v>
      </c>
      <c r="G250" s="1" t="s">
        <v>54</v>
      </c>
      <c r="H250" s="1" t="s">
        <v>36</v>
      </c>
      <c r="I250" s="1" t="s">
        <v>37</v>
      </c>
      <c r="J250" s="1" t="s">
        <v>38</v>
      </c>
      <c r="K250" s="1" t="s">
        <v>55</v>
      </c>
      <c r="L250" s="1" t="s">
        <v>242</v>
      </c>
      <c r="M250" s="1" t="s">
        <v>119</v>
      </c>
      <c r="N250" s="1" t="s">
        <v>42</v>
      </c>
      <c r="O250" s="1" t="s">
        <v>43</v>
      </c>
      <c r="P250" s="1" t="s">
        <v>976</v>
      </c>
      <c r="Q250" s="1" t="s">
        <v>42</v>
      </c>
      <c r="R250" s="1" t="s">
        <v>1132</v>
      </c>
      <c r="S250" s="1" t="s">
        <v>89</v>
      </c>
      <c r="T250" s="1" t="s">
        <v>46</v>
      </c>
      <c r="U250" s="1" t="s">
        <v>81</v>
      </c>
      <c r="V250" s="1" t="s">
        <v>2011</v>
      </c>
      <c r="W250" s="1" t="s">
        <v>35</v>
      </c>
      <c r="X250" s="1" t="s">
        <v>35</v>
      </c>
      <c r="Y250" s="1" t="s">
        <v>49</v>
      </c>
      <c r="Z250" s="1" t="s">
        <v>35</v>
      </c>
      <c r="AA250" s="1" t="s">
        <v>35</v>
      </c>
      <c r="AB250" s="1" t="s">
        <v>35</v>
      </c>
      <c r="AC250" s="1" t="s">
        <v>127</v>
      </c>
      <c r="AD250" s="1" t="s">
        <v>2012</v>
      </c>
      <c r="AE250" s="1" t="s">
        <v>2013</v>
      </c>
      <c r="AF250" s="1" t="s">
        <v>2014</v>
      </c>
    </row>
    <row r="251" spans="1:32" x14ac:dyDescent="0.25">
      <c r="A251" s="1" t="s">
        <v>50</v>
      </c>
      <c r="B251" s="1" t="s">
        <v>2015</v>
      </c>
      <c r="C251" s="1" t="s">
        <v>2016</v>
      </c>
      <c r="D251" s="1" t="s">
        <v>2017</v>
      </c>
      <c r="E251" s="24">
        <v>45930</v>
      </c>
      <c r="F251" s="2" t="s">
        <v>103</v>
      </c>
      <c r="G251" s="1" t="s">
        <v>54</v>
      </c>
      <c r="H251" s="1" t="s">
        <v>36</v>
      </c>
      <c r="I251" s="1" t="s">
        <v>37</v>
      </c>
      <c r="J251" s="1" t="s">
        <v>38</v>
      </c>
      <c r="K251" s="1" t="s">
        <v>55</v>
      </c>
      <c r="L251" s="1" t="s">
        <v>176</v>
      </c>
      <c r="M251" s="1" t="s">
        <v>458</v>
      </c>
      <c r="N251" s="1" t="s">
        <v>42</v>
      </c>
      <c r="O251" s="1" t="s">
        <v>43</v>
      </c>
      <c r="P251" s="1" t="s">
        <v>459</v>
      </c>
      <c r="Q251" s="1" t="s">
        <v>42</v>
      </c>
      <c r="R251" s="1" t="s">
        <v>2018</v>
      </c>
      <c r="S251" s="1" t="s">
        <v>675</v>
      </c>
      <c r="T251" s="1" t="s">
        <v>46</v>
      </c>
      <c r="U251" s="1" t="s">
        <v>81</v>
      </c>
      <c r="V251" s="1" t="s">
        <v>2019</v>
      </c>
      <c r="W251" s="1" t="s">
        <v>35</v>
      </c>
      <c r="X251" s="1" t="s">
        <v>35</v>
      </c>
      <c r="Y251" s="1" t="s">
        <v>49</v>
      </c>
      <c r="Z251" s="1" t="s">
        <v>35</v>
      </c>
      <c r="AA251" s="1" t="s">
        <v>35</v>
      </c>
      <c r="AB251" s="1" t="s">
        <v>35</v>
      </c>
      <c r="AC251" s="1" t="s">
        <v>35</v>
      </c>
      <c r="AD251" s="1" t="s">
        <v>35</v>
      </c>
      <c r="AE251" s="1" t="s">
        <v>2020</v>
      </c>
      <c r="AF251" s="1" t="s">
        <v>2021</v>
      </c>
    </row>
    <row r="252" spans="1:32" x14ac:dyDescent="0.25">
      <c r="A252" s="1" t="s">
        <v>50</v>
      </c>
      <c r="B252" s="1" t="s">
        <v>2022</v>
      </c>
      <c r="C252" s="1" t="s">
        <v>2023</v>
      </c>
      <c r="D252" s="1" t="s">
        <v>2024</v>
      </c>
      <c r="E252" s="24">
        <v>45932</v>
      </c>
      <c r="F252" s="2" t="s">
        <v>102</v>
      </c>
      <c r="G252" s="1" t="s">
        <v>54</v>
      </c>
      <c r="H252" s="1" t="s">
        <v>36</v>
      </c>
      <c r="I252" s="1" t="s">
        <v>37</v>
      </c>
      <c r="J252" s="1" t="s">
        <v>38</v>
      </c>
      <c r="K252" s="1" t="s">
        <v>55</v>
      </c>
      <c r="L252" s="1" t="s">
        <v>176</v>
      </c>
      <c r="M252" s="1" t="s">
        <v>56</v>
      </c>
      <c r="N252" s="1" t="s">
        <v>42</v>
      </c>
      <c r="O252" s="1" t="s">
        <v>43</v>
      </c>
      <c r="P252" s="1" t="s">
        <v>56</v>
      </c>
      <c r="Q252" s="1" t="s">
        <v>42</v>
      </c>
      <c r="R252" s="1" t="s">
        <v>1191</v>
      </c>
      <c r="S252" s="1" t="s">
        <v>502</v>
      </c>
      <c r="T252" s="1" t="s">
        <v>46</v>
      </c>
      <c r="U252" s="1" t="s">
        <v>1997</v>
      </c>
      <c r="V252" s="1" t="s">
        <v>2025</v>
      </c>
      <c r="W252" s="1" t="s">
        <v>35</v>
      </c>
      <c r="X252" s="1" t="s">
        <v>35</v>
      </c>
      <c r="Y252" s="1" t="s">
        <v>49</v>
      </c>
      <c r="Z252" s="1" t="s">
        <v>35</v>
      </c>
      <c r="AA252" s="1" t="s">
        <v>35</v>
      </c>
      <c r="AB252" s="1" t="s">
        <v>35</v>
      </c>
      <c r="AC252" s="1" t="s">
        <v>35</v>
      </c>
      <c r="AD252" s="1" t="s">
        <v>35</v>
      </c>
      <c r="AE252" s="1" t="s">
        <v>2026</v>
      </c>
      <c r="AF252" s="1" t="s">
        <v>2027</v>
      </c>
    </row>
    <row r="253" spans="1:32" x14ac:dyDescent="0.25">
      <c r="A253" s="1" t="s">
        <v>65</v>
      </c>
      <c r="B253" s="1" t="s">
        <v>2028</v>
      </c>
      <c r="C253" s="1" t="s">
        <v>2029</v>
      </c>
      <c r="D253" s="1" t="s">
        <v>2030</v>
      </c>
      <c r="E253" s="24">
        <v>45934</v>
      </c>
      <c r="F253" s="2" t="s">
        <v>102</v>
      </c>
      <c r="G253" s="1" t="s">
        <v>54</v>
      </c>
      <c r="H253" s="1" t="s">
        <v>36</v>
      </c>
      <c r="I253" s="1" t="s">
        <v>37</v>
      </c>
      <c r="J253" s="1" t="s">
        <v>38</v>
      </c>
      <c r="K253" s="1" t="s">
        <v>55</v>
      </c>
      <c r="L253" s="1" t="s">
        <v>308</v>
      </c>
      <c r="M253" s="1" t="s">
        <v>1251</v>
      </c>
      <c r="N253" s="1" t="s">
        <v>42</v>
      </c>
      <c r="O253" s="1" t="s">
        <v>43</v>
      </c>
      <c r="P253" s="1" t="s">
        <v>493</v>
      </c>
      <c r="Q253" s="1" t="s">
        <v>42</v>
      </c>
      <c r="R253" s="1" t="s">
        <v>691</v>
      </c>
      <c r="S253" s="1" t="s">
        <v>45</v>
      </c>
      <c r="T253" s="1" t="s">
        <v>60</v>
      </c>
      <c r="U253" s="1" t="s">
        <v>61</v>
      </c>
      <c r="V253" s="1" t="s">
        <v>2031</v>
      </c>
      <c r="W253" s="1" t="s">
        <v>35</v>
      </c>
      <c r="X253" s="1" t="s">
        <v>35</v>
      </c>
      <c r="Y253" s="1" t="s">
        <v>49</v>
      </c>
      <c r="Z253" s="1" t="s">
        <v>35</v>
      </c>
      <c r="AA253" s="1" t="s">
        <v>35</v>
      </c>
      <c r="AB253" s="1" t="s">
        <v>35</v>
      </c>
      <c r="AC253" s="1" t="s">
        <v>35</v>
      </c>
      <c r="AD253" s="1" t="s">
        <v>35</v>
      </c>
      <c r="AE253" s="1" t="s">
        <v>2032</v>
      </c>
      <c r="AF253" s="1" t="s">
        <v>2033</v>
      </c>
    </row>
    <row r="254" spans="1:32" x14ac:dyDescent="0.25">
      <c r="A254" s="1" t="s">
        <v>50</v>
      </c>
      <c r="B254" s="1" t="s">
        <v>2034</v>
      </c>
      <c r="C254" s="1" t="s">
        <v>2035</v>
      </c>
      <c r="D254" s="1" t="s">
        <v>2036</v>
      </c>
      <c r="E254" s="24">
        <v>45935</v>
      </c>
      <c r="F254" s="2" t="s">
        <v>102</v>
      </c>
      <c r="G254" s="1" t="s">
        <v>302</v>
      </c>
      <c r="H254" s="1" t="s">
        <v>36</v>
      </c>
      <c r="I254" s="1" t="s">
        <v>37</v>
      </c>
      <c r="J254" s="1" t="s">
        <v>38</v>
      </c>
      <c r="K254" s="1" t="s">
        <v>55</v>
      </c>
      <c r="L254" s="1" t="s">
        <v>432</v>
      </c>
      <c r="M254" s="1" t="s">
        <v>835</v>
      </c>
      <c r="N254" s="1" t="s">
        <v>42</v>
      </c>
      <c r="O254" s="1" t="s">
        <v>43</v>
      </c>
      <c r="P254" s="1" t="s">
        <v>835</v>
      </c>
      <c r="Q254" s="1" t="s">
        <v>42</v>
      </c>
      <c r="R254" s="1" t="s">
        <v>2037</v>
      </c>
      <c r="S254" s="1" t="s">
        <v>732</v>
      </c>
      <c r="T254" s="1" t="s">
        <v>46</v>
      </c>
      <c r="U254" s="1" t="s">
        <v>757</v>
      </c>
      <c r="V254" s="1" t="s">
        <v>2038</v>
      </c>
      <c r="W254" s="1" t="s">
        <v>35</v>
      </c>
      <c r="X254" s="1" t="s">
        <v>35</v>
      </c>
      <c r="Y254" s="1" t="s">
        <v>49</v>
      </c>
      <c r="Z254" s="1" t="s">
        <v>35</v>
      </c>
      <c r="AA254" s="1" t="s">
        <v>35</v>
      </c>
      <c r="AB254" s="1" t="s">
        <v>35</v>
      </c>
      <c r="AC254" s="1" t="s">
        <v>35</v>
      </c>
      <c r="AD254" s="1" t="s">
        <v>35</v>
      </c>
      <c r="AE254" s="1" t="s">
        <v>2039</v>
      </c>
      <c r="AF254" s="1" t="s">
        <v>2040</v>
      </c>
    </row>
    <row r="255" spans="1:32" x14ac:dyDescent="0.25">
      <c r="A255" s="1" t="s">
        <v>50</v>
      </c>
      <c r="B255" s="1" t="s">
        <v>2041</v>
      </c>
      <c r="C255" s="1" t="s">
        <v>2042</v>
      </c>
      <c r="D255" s="1" t="s">
        <v>2043</v>
      </c>
      <c r="E255" s="24">
        <v>45935</v>
      </c>
      <c r="F255" s="2" t="s">
        <v>102</v>
      </c>
      <c r="G255" s="1" t="s">
        <v>302</v>
      </c>
      <c r="H255" s="1" t="s">
        <v>36</v>
      </c>
      <c r="I255" s="1" t="s">
        <v>37</v>
      </c>
      <c r="J255" s="1" t="s">
        <v>38</v>
      </c>
      <c r="K255" s="1" t="s">
        <v>55</v>
      </c>
      <c r="L255" s="1" t="s">
        <v>176</v>
      </c>
      <c r="M255" s="1" t="s">
        <v>177</v>
      </c>
      <c r="N255" s="1" t="s">
        <v>42</v>
      </c>
      <c r="O255" s="1" t="s">
        <v>43</v>
      </c>
      <c r="P255" s="1" t="s">
        <v>1324</v>
      </c>
      <c r="Q255" s="1" t="s">
        <v>42</v>
      </c>
      <c r="R255" s="1" t="s">
        <v>2044</v>
      </c>
      <c r="S255" s="1" t="s">
        <v>1659</v>
      </c>
      <c r="T255" s="1" t="s">
        <v>46</v>
      </c>
      <c r="U255" s="1" t="s">
        <v>757</v>
      </c>
      <c r="V255" s="1" t="s">
        <v>2045</v>
      </c>
      <c r="W255" s="1" t="s">
        <v>35</v>
      </c>
      <c r="X255" s="1" t="s">
        <v>35</v>
      </c>
      <c r="Y255" s="1" t="s">
        <v>49</v>
      </c>
      <c r="Z255" s="1" t="s">
        <v>35</v>
      </c>
      <c r="AA255" s="1" t="s">
        <v>35</v>
      </c>
      <c r="AB255" s="1" t="s">
        <v>35</v>
      </c>
      <c r="AC255" s="1" t="s">
        <v>35</v>
      </c>
      <c r="AD255" s="1" t="s">
        <v>35</v>
      </c>
      <c r="AE255" s="1" t="s">
        <v>2046</v>
      </c>
      <c r="AF255" s="1" t="s">
        <v>2047</v>
      </c>
    </row>
    <row r="256" spans="1:32" x14ac:dyDescent="0.25">
      <c r="A256" s="1" t="s">
        <v>65</v>
      </c>
      <c r="B256" s="1" t="s">
        <v>2048</v>
      </c>
      <c r="C256" s="1" t="s">
        <v>2049</v>
      </c>
      <c r="D256" s="1" t="s">
        <v>2050</v>
      </c>
      <c r="E256" s="24">
        <v>45936</v>
      </c>
      <c r="F256" s="2" t="s">
        <v>102</v>
      </c>
      <c r="G256" s="1" t="s">
        <v>54</v>
      </c>
      <c r="H256" s="1" t="s">
        <v>36</v>
      </c>
      <c r="I256" s="1" t="s">
        <v>37</v>
      </c>
      <c r="J256" s="1" t="s">
        <v>38</v>
      </c>
      <c r="K256" s="1" t="s">
        <v>55</v>
      </c>
      <c r="L256" s="1" t="s">
        <v>69</v>
      </c>
      <c r="M256" s="1" t="s">
        <v>56</v>
      </c>
      <c r="N256" s="1" t="s">
        <v>42</v>
      </c>
      <c r="O256" s="1" t="s">
        <v>43</v>
      </c>
      <c r="P256" s="1" t="s">
        <v>399</v>
      </c>
      <c r="Q256" s="1" t="s">
        <v>42</v>
      </c>
      <c r="R256" s="1" t="s">
        <v>1305</v>
      </c>
      <c r="S256" s="1" t="s">
        <v>451</v>
      </c>
      <c r="T256" s="1" t="s">
        <v>60</v>
      </c>
      <c r="U256" s="1" t="s">
        <v>61</v>
      </c>
      <c r="V256" s="1" t="s">
        <v>2051</v>
      </c>
      <c r="W256" s="1" t="s">
        <v>35</v>
      </c>
      <c r="X256" s="1" t="s">
        <v>35</v>
      </c>
      <c r="Y256" s="1" t="s">
        <v>49</v>
      </c>
      <c r="Z256" s="1" t="s">
        <v>35</v>
      </c>
      <c r="AA256" s="1" t="s">
        <v>35</v>
      </c>
      <c r="AB256" s="1" t="s">
        <v>35</v>
      </c>
      <c r="AC256" s="1" t="s">
        <v>35</v>
      </c>
      <c r="AD256" s="1" t="s">
        <v>35</v>
      </c>
      <c r="AE256" s="1" t="s">
        <v>2052</v>
      </c>
      <c r="AF256" s="1" t="s">
        <v>2053</v>
      </c>
    </row>
    <row r="257" spans="1:32" x14ac:dyDescent="0.25">
      <c r="A257" s="1" t="s">
        <v>65</v>
      </c>
      <c r="B257" s="1" t="s">
        <v>2054</v>
      </c>
      <c r="C257" s="1" t="s">
        <v>2055</v>
      </c>
      <c r="D257" s="1" t="s">
        <v>2056</v>
      </c>
      <c r="E257" s="24">
        <v>45936</v>
      </c>
      <c r="F257" s="2" t="s">
        <v>102</v>
      </c>
      <c r="G257" s="1" t="s">
        <v>54</v>
      </c>
      <c r="H257" s="1" t="s">
        <v>36</v>
      </c>
      <c r="I257" s="1" t="s">
        <v>37</v>
      </c>
      <c r="J257" s="1" t="s">
        <v>38</v>
      </c>
      <c r="K257" s="1" t="s">
        <v>55</v>
      </c>
      <c r="L257" s="1" t="s">
        <v>69</v>
      </c>
      <c r="M257" s="1" t="s">
        <v>56</v>
      </c>
      <c r="N257" s="1" t="s">
        <v>42</v>
      </c>
      <c r="O257" s="1" t="s">
        <v>43</v>
      </c>
      <c r="P257" s="1" t="s">
        <v>185</v>
      </c>
      <c r="Q257" s="1" t="s">
        <v>42</v>
      </c>
      <c r="R257" s="1" t="s">
        <v>1348</v>
      </c>
      <c r="S257" s="1" t="s">
        <v>59</v>
      </c>
      <c r="T257" s="1" t="s">
        <v>60</v>
      </c>
      <c r="U257" s="1" t="s">
        <v>61</v>
      </c>
      <c r="V257" s="1" t="s">
        <v>2057</v>
      </c>
      <c r="W257" s="1" t="s">
        <v>35</v>
      </c>
      <c r="X257" s="1" t="s">
        <v>35</v>
      </c>
      <c r="Y257" s="1" t="s">
        <v>49</v>
      </c>
      <c r="Z257" s="1" t="s">
        <v>35</v>
      </c>
      <c r="AA257" s="1" t="s">
        <v>35</v>
      </c>
      <c r="AB257" s="1" t="s">
        <v>35</v>
      </c>
      <c r="AC257" s="1" t="s">
        <v>35</v>
      </c>
      <c r="AD257" s="1" t="s">
        <v>35</v>
      </c>
      <c r="AE257" s="1" t="s">
        <v>2058</v>
      </c>
      <c r="AF257" s="1" t="s">
        <v>2059</v>
      </c>
    </row>
    <row r="258" spans="1:32" x14ac:dyDescent="0.25">
      <c r="A258" s="1" t="s">
        <v>65</v>
      </c>
      <c r="B258" s="1" t="s">
        <v>2060</v>
      </c>
      <c r="C258" s="1" t="s">
        <v>2061</v>
      </c>
      <c r="D258" s="1" t="s">
        <v>2062</v>
      </c>
      <c r="E258" s="24">
        <v>45936</v>
      </c>
      <c r="F258" s="2" t="s">
        <v>102</v>
      </c>
      <c r="G258" s="1" t="s">
        <v>806</v>
      </c>
      <c r="H258" s="1" t="s">
        <v>36</v>
      </c>
      <c r="I258" s="1" t="s">
        <v>37</v>
      </c>
      <c r="J258" s="1" t="s">
        <v>38</v>
      </c>
      <c r="K258" s="1" t="s">
        <v>55</v>
      </c>
      <c r="L258" s="1" t="s">
        <v>242</v>
      </c>
      <c r="M258" s="1" t="s">
        <v>705</v>
      </c>
      <c r="N258" s="1" t="s">
        <v>42</v>
      </c>
      <c r="O258" s="1" t="s">
        <v>43</v>
      </c>
      <c r="P258" s="1" t="s">
        <v>705</v>
      </c>
      <c r="Q258" s="1" t="s">
        <v>42</v>
      </c>
      <c r="R258" s="1" t="s">
        <v>143</v>
      </c>
      <c r="S258" s="1" t="s">
        <v>144</v>
      </c>
      <c r="T258" s="1" t="s">
        <v>60</v>
      </c>
      <c r="U258" s="1" t="s">
        <v>61</v>
      </c>
      <c r="V258" s="1" t="s">
        <v>2063</v>
      </c>
      <c r="W258" s="1" t="s">
        <v>35</v>
      </c>
      <c r="X258" s="1" t="s">
        <v>35</v>
      </c>
      <c r="Y258" s="1" t="s">
        <v>49</v>
      </c>
      <c r="Z258" s="1" t="s">
        <v>35</v>
      </c>
      <c r="AA258" s="1" t="s">
        <v>35</v>
      </c>
      <c r="AB258" s="1" t="s">
        <v>35</v>
      </c>
      <c r="AC258" s="1" t="s">
        <v>35</v>
      </c>
      <c r="AD258" s="1" t="s">
        <v>35</v>
      </c>
      <c r="AE258" s="1" t="s">
        <v>2064</v>
      </c>
      <c r="AF258" s="1" t="s">
        <v>2065</v>
      </c>
    </row>
    <row r="259" spans="1:32" x14ac:dyDescent="0.25">
      <c r="A259" s="1" t="s">
        <v>50</v>
      </c>
      <c r="B259" s="1" t="s">
        <v>2066</v>
      </c>
      <c r="C259" s="1" t="s">
        <v>2067</v>
      </c>
      <c r="D259" s="1" t="s">
        <v>2068</v>
      </c>
      <c r="E259" s="24">
        <v>45936</v>
      </c>
      <c r="F259" s="2" t="s">
        <v>103</v>
      </c>
      <c r="G259" s="1" t="s">
        <v>302</v>
      </c>
      <c r="H259" s="1" t="s">
        <v>36</v>
      </c>
      <c r="I259" s="1" t="s">
        <v>37</v>
      </c>
      <c r="J259" s="1" t="s">
        <v>38</v>
      </c>
      <c r="K259" s="1" t="s">
        <v>55</v>
      </c>
      <c r="L259" s="1" t="s">
        <v>40</v>
      </c>
      <c r="M259" s="1" t="s">
        <v>835</v>
      </c>
      <c r="N259" s="1" t="s">
        <v>42</v>
      </c>
      <c r="O259" s="1" t="s">
        <v>43</v>
      </c>
      <c r="P259" s="1" t="s">
        <v>835</v>
      </c>
      <c r="Q259" s="1" t="s">
        <v>42</v>
      </c>
      <c r="R259" s="1" t="s">
        <v>919</v>
      </c>
      <c r="S259" s="1" t="s">
        <v>667</v>
      </c>
      <c r="T259" s="1" t="s">
        <v>60</v>
      </c>
      <c r="U259" s="1" t="s">
        <v>145</v>
      </c>
      <c r="V259" s="1" t="s">
        <v>2069</v>
      </c>
      <c r="W259" s="1" t="s">
        <v>35</v>
      </c>
      <c r="X259" s="1" t="s">
        <v>35</v>
      </c>
      <c r="Y259" s="1" t="s">
        <v>49</v>
      </c>
      <c r="Z259" s="1" t="s">
        <v>35</v>
      </c>
      <c r="AA259" s="1" t="s">
        <v>35</v>
      </c>
      <c r="AB259" s="1" t="s">
        <v>35</v>
      </c>
      <c r="AC259" s="1" t="s">
        <v>35</v>
      </c>
      <c r="AD259" s="1" t="s">
        <v>35</v>
      </c>
      <c r="AE259" s="1" t="s">
        <v>2070</v>
      </c>
      <c r="AF259" s="1" t="s">
        <v>2071</v>
      </c>
    </row>
    <row r="260" spans="1:32" x14ac:dyDescent="0.25">
      <c r="A260" s="1" t="s">
        <v>65</v>
      </c>
      <c r="B260" s="1" t="s">
        <v>2072</v>
      </c>
      <c r="C260" s="1" t="s">
        <v>2073</v>
      </c>
      <c r="D260" s="1" t="s">
        <v>2074</v>
      </c>
      <c r="E260" s="24">
        <v>45937</v>
      </c>
      <c r="F260" s="2" t="s">
        <v>102</v>
      </c>
      <c r="G260" s="1" t="s">
        <v>54</v>
      </c>
      <c r="H260" s="1" t="s">
        <v>36</v>
      </c>
      <c r="I260" s="1" t="s">
        <v>37</v>
      </c>
      <c r="J260" s="1" t="s">
        <v>38</v>
      </c>
      <c r="K260" s="1" t="s">
        <v>55</v>
      </c>
      <c r="L260" s="1" t="s">
        <v>176</v>
      </c>
      <c r="M260" s="1" t="s">
        <v>56</v>
      </c>
      <c r="N260" s="1" t="s">
        <v>42</v>
      </c>
      <c r="O260" s="1" t="s">
        <v>43</v>
      </c>
      <c r="P260" s="1" t="s">
        <v>399</v>
      </c>
      <c r="Q260" s="1" t="s">
        <v>42</v>
      </c>
      <c r="R260" s="1" t="s">
        <v>1348</v>
      </c>
      <c r="S260" s="1" t="s">
        <v>59</v>
      </c>
      <c r="T260" s="1" t="s">
        <v>60</v>
      </c>
      <c r="U260" s="1" t="s">
        <v>61</v>
      </c>
      <c r="V260" s="1" t="s">
        <v>2075</v>
      </c>
      <c r="W260" s="1" t="s">
        <v>35</v>
      </c>
      <c r="X260" s="1" t="s">
        <v>35</v>
      </c>
      <c r="Y260" s="1" t="s">
        <v>49</v>
      </c>
      <c r="Z260" s="1" t="s">
        <v>35</v>
      </c>
      <c r="AA260" s="1" t="s">
        <v>35</v>
      </c>
      <c r="AB260" s="1" t="s">
        <v>35</v>
      </c>
      <c r="AC260" s="1" t="s">
        <v>35</v>
      </c>
      <c r="AD260" s="1" t="s">
        <v>35</v>
      </c>
      <c r="AE260" s="1" t="s">
        <v>2076</v>
      </c>
      <c r="AF260" s="1" t="s">
        <v>2077</v>
      </c>
    </row>
    <row r="261" spans="1:32" x14ac:dyDescent="0.25">
      <c r="A261" s="1" t="s">
        <v>50</v>
      </c>
      <c r="B261" s="1" t="s">
        <v>2078</v>
      </c>
      <c r="C261" s="1" t="s">
        <v>2079</v>
      </c>
      <c r="D261" s="1" t="s">
        <v>2080</v>
      </c>
      <c r="E261" s="24">
        <v>45937</v>
      </c>
      <c r="F261" s="2" t="s">
        <v>102</v>
      </c>
      <c r="G261" s="1" t="s">
        <v>302</v>
      </c>
      <c r="H261" s="1" t="s">
        <v>36</v>
      </c>
      <c r="I261" s="1" t="s">
        <v>37</v>
      </c>
      <c r="J261" s="1" t="s">
        <v>38</v>
      </c>
      <c r="K261" s="1" t="s">
        <v>55</v>
      </c>
      <c r="L261" s="1" t="s">
        <v>69</v>
      </c>
      <c r="M261" s="1" t="s">
        <v>1796</v>
      </c>
      <c r="N261" s="1" t="s">
        <v>42</v>
      </c>
      <c r="O261" s="1" t="s">
        <v>43</v>
      </c>
      <c r="P261" s="1" t="s">
        <v>120</v>
      </c>
      <c r="Q261" s="1" t="s">
        <v>42</v>
      </c>
      <c r="R261" s="1" t="s">
        <v>2081</v>
      </c>
      <c r="S261" s="1" t="s">
        <v>351</v>
      </c>
      <c r="T261" s="1" t="s">
        <v>46</v>
      </c>
      <c r="U261" s="1" t="s">
        <v>757</v>
      </c>
      <c r="V261" s="1" t="s">
        <v>2082</v>
      </c>
      <c r="W261" s="1" t="s">
        <v>35</v>
      </c>
      <c r="X261" s="1" t="s">
        <v>35</v>
      </c>
      <c r="Y261" s="1" t="s">
        <v>49</v>
      </c>
      <c r="Z261" s="1" t="s">
        <v>35</v>
      </c>
      <c r="AA261" s="1" t="s">
        <v>35</v>
      </c>
      <c r="AB261" s="1" t="s">
        <v>35</v>
      </c>
      <c r="AC261" s="1" t="s">
        <v>2083</v>
      </c>
      <c r="AD261" s="1" t="s">
        <v>2084</v>
      </c>
      <c r="AE261" s="1" t="s">
        <v>2085</v>
      </c>
      <c r="AF261" s="1" t="s">
        <v>2086</v>
      </c>
    </row>
    <row r="262" spans="1:32" x14ac:dyDescent="0.25">
      <c r="A262" s="1" t="s">
        <v>50</v>
      </c>
      <c r="B262" s="1" t="s">
        <v>2087</v>
      </c>
      <c r="C262" s="1" t="s">
        <v>2088</v>
      </c>
      <c r="D262" s="1" t="s">
        <v>2089</v>
      </c>
      <c r="E262" s="24">
        <v>45937</v>
      </c>
      <c r="F262" s="2" t="s">
        <v>2090</v>
      </c>
      <c r="G262" s="1" t="s">
        <v>302</v>
      </c>
      <c r="H262" s="1" t="s">
        <v>36</v>
      </c>
      <c r="I262" s="1" t="s">
        <v>37</v>
      </c>
      <c r="J262" s="1" t="s">
        <v>38</v>
      </c>
      <c r="K262" s="1" t="s">
        <v>55</v>
      </c>
      <c r="L262" s="1" t="s">
        <v>69</v>
      </c>
      <c r="M262" s="1" t="s">
        <v>1796</v>
      </c>
      <c r="N262" s="1" t="s">
        <v>42</v>
      </c>
      <c r="O262" s="1" t="s">
        <v>43</v>
      </c>
      <c r="P262" s="1" t="s">
        <v>120</v>
      </c>
      <c r="Q262" s="1" t="s">
        <v>42</v>
      </c>
      <c r="R262" s="1" t="s">
        <v>2037</v>
      </c>
      <c r="S262" s="1" t="s">
        <v>732</v>
      </c>
      <c r="T262" s="1" t="s">
        <v>46</v>
      </c>
      <c r="U262" s="1" t="s">
        <v>757</v>
      </c>
      <c r="V262" s="1" t="s">
        <v>2091</v>
      </c>
      <c r="W262" s="1" t="s">
        <v>35</v>
      </c>
      <c r="X262" s="1" t="s">
        <v>35</v>
      </c>
      <c r="Y262" s="1" t="s">
        <v>49</v>
      </c>
      <c r="Z262" s="1" t="s">
        <v>35</v>
      </c>
      <c r="AA262" s="1" t="s">
        <v>35</v>
      </c>
      <c r="AB262" s="1" t="s">
        <v>35</v>
      </c>
      <c r="AC262" s="1" t="s">
        <v>35</v>
      </c>
      <c r="AD262" s="1" t="s">
        <v>35</v>
      </c>
      <c r="AE262" s="1" t="s">
        <v>2092</v>
      </c>
      <c r="AF262" s="1" t="s">
        <v>2093</v>
      </c>
    </row>
    <row r="263" spans="1:32" x14ac:dyDescent="0.25">
      <c r="A263" s="1" t="s">
        <v>50</v>
      </c>
      <c r="B263" s="1" t="s">
        <v>2094</v>
      </c>
      <c r="C263" s="1" t="s">
        <v>2095</v>
      </c>
      <c r="D263" s="1" t="s">
        <v>2096</v>
      </c>
      <c r="E263" s="24">
        <v>45938</v>
      </c>
      <c r="F263" s="2" t="s">
        <v>102</v>
      </c>
      <c r="G263" s="1" t="s">
        <v>54</v>
      </c>
      <c r="H263" s="1" t="s">
        <v>36</v>
      </c>
      <c r="I263" s="1" t="s">
        <v>37</v>
      </c>
      <c r="J263" s="1" t="s">
        <v>38</v>
      </c>
      <c r="K263" s="1" t="s">
        <v>55</v>
      </c>
      <c r="L263" s="1" t="s">
        <v>242</v>
      </c>
      <c r="M263" s="1" t="s">
        <v>119</v>
      </c>
      <c r="N263" s="1" t="s">
        <v>42</v>
      </c>
      <c r="O263" s="1" t="s">
        <v>43</v>
      </c>
      <c r="P263" s="1" t="s">
        <v>257</v>
      </c>
      <c r="Q263" s="1" t="s">
        <v>42</v>
      </c>
      <c r="R263" s="1" t="s">
        <v>2097</v>
      </c>
      <c r="S263" s="1" t="s">
        <v>80</v>
      </c>
      <c r="T263" s="1" t="s">
        <v>46</v>
      </c>
      <c r="U263" s="1" t="s">
        <v>81</v>
      </c>
      <c r="V263" s="1" t="s">
        <v>2098</v>
      </c>
      <c r="W263" s="1" t="s">
        <v>35</v>
      </c>
      <c r="X263" s="1" t="s">
        <v>35</v>
      </c>
      <c r="Y263" s="1" t="s">
        <v>49</v>
      </c>
      <c r="Z263" s="1" t="s">
        <v>35</v>
      </c>
      <c r="AA263" s="1" t="s">
        <v>35</v>
      </c>
      <c r="AB263" s="1" t="s">
        <v>35</v>
      </c>
      <c r="AC263" s="1" t="s">
        <v>35</v>
      </c>
      <c r="AD263" s="1" t="s">
        <v>35</v>
      </c>
      <c r="AE263" s="1" t="s">
        <v>2099</v>
      </c>
      <c r="AF263" s="1" t="s">
        <v>2100</v>
      </c>
    </row>
    <row r="264" spans="1:32" x14ac:dyDescent="0.25">
      <c r="A264" s="1" t="s">
        <v>50</v>
      </c>
      <c r="B264" s="1" t="s">
        <v>2101</v>
      </c>
      <c r="C264" s="1" t="s">
        <v>2102</v>
      </c>
      <c r="D264" s="1" t="s">
        <v>2103</v>
      </c>
      <c r="E264" s="24">
        <v>45938</v>
      </c>
      <c r="F264" s="2" t="s">
        <v>102</v>
      </c>
      <c r="G264" s="1" t="s">
        <v>911</v>
      </c>
      <c r="H264" s="1" t="s">
        <v>36</v>
      </c>
      <c r="I264" s="1" t="s">
        <v>37</v>
      </c>
      <c r="J264" s="1" t="s">
        <v>38</v>
      </c>
      <c r="K264" s="1" t="s">
        <v>55</v>
      </c>
      <c r="L264" s="1" t="s">
        <v>242</v>
      </c>
      <c r="M264" s="1" t="s">
        <v>119</v>
      </c>
      <c r="N264" s="1" t="s">
        <v>42</v>
      </c>
      <c r="O264" s="1" t="s">
        <v>43</v>
      </c>
      <c r="P264" s="1" t="s">
        <v>433</v>
      </c>
      <c r="Q264" s="1" t="s">
        <v>42</v>
      </c>
      <c r="R264" s="1" t="s">
        <v>2104</v>
      </c>
      <c r="S264" s="1" t="s">
        <v>539</v>
      </c>
      <c r="T264" s="1" t="s">
        <v>60</v>
      </c>
      <c r="U264" s="1" t="s">
        <v>61</v>
      </c>
      <c r="V264" s="1" t="s">
        <v>2105</v>
      </c>
      <c r="W264" s="1" t="s">
        <v>35</v>
      </c>
      <c r="X264" s="1" t="s">
        <v>35</v>
      </c>
      <c r="Y264" s="1" t="s">
        <v>49</v>
      </c>
      <c r="Z264" s="1" t="s">
        <v>35</v>
      </c>
      <c r="AA264" s="1" t="s">
        <v>35</v>
      </c>
      <c r="AB264" s="1" t="s">
        <v>35</v>
      </c>
      <c r="AC264" s="1" t="s">
        <v>35</v>
      </c>
      <c r="AD264" s="1" t="s">
        <v>35</v>
      </c>
      <c r="AE264" s="1" t="s">
        <v>2106</v>
      </c>
      <c r="AF264" s="1" t="s">
        <v>2107</v>
      </c>
    </row>
    <row r="265" spans="1:32" x14ac:dyDescent="0.25">
      <c r="A265" s="1" t="s">
        <v>65</v>
      </c>
      <c r="B265" s="1" t="s">
        <v>2108</v>
      </c>
      <c r="C265" s="1" t="s">
        <v>2109</v>
      </c>
      <c r="D265" s="1" t="s">
        <v>2110</v>
      </c>
      <c r="E265" s="24">
        <v>45938</v>
      </c>
      <c r="F265" s="2" t="s">
        <v>102</v>
      </c>
      <c r="G265" s="1" t="s">
        <v>194</v>
      </c>
      <c r="H265" s="1" t="s">
        <v>36</v>
      </c>
      <c r="I265" s="1" t="s">
        <v>37</v>
      </c>
      <c r="J265" s="1" t="s">
        <v>38</v>
      </c>
      <c r="K265" s="1" t="s">
        <v>55</v>
      </c>
      <c r="L265" s="1" t="s">
        <v>69</v>
      </c>
      <c r="M265" s="1" t="s">
        <v>1115</v>
      </c>
      <c r="N265" s="1" t="s">
        <v>42</v>
      </c>
      <c r="O265" s="1" t="s">
        <v>43</v>
      </c>
      <c r="P265" s="1" t="s">
        <v>1131</v>
      </c>
      <c r="Q265" s="1" t="s">
        <v>42</v>
      </c>
      <c r="R265" s="1" t="s">
        <v>1651</v>
      </c>
      <c r="S265" s="1" t="s">
        <v>89</v>
      </c>
      <c r="T265" s="1" t="s">
        <v>60</v>
      </c>
      <c r="U265" s="1" t="s">
        <v>61</v>
      </c>
      <c r="V265" s="1" t="s">
        <v>2111</v>
      </c>
      <c r="W265" s="1" t="s">
        <v>35</v>
      </c>
      <c r="X265" s="1" t="s">
        <v>35</v>
      </c>
      <c r="Y265" s="1" t="s">
        <v>49</v>
      </c>
      <c r="Z265" s="1" t="s">
        <v>35</v>
      </c>
      <c r="AA265" s="1" t="s">
        <v>35</v>
      </c>
      <c r="AB265" s="1" t="s">
        <v>35</v>
      </c>
      <c r="AC265" s="1" t="s">
        <v>35</v>
      </c>
      <c r="AD265" s="1" t="s">
        <v>35</v>
      </c>
      <c r="AE265" s="1" t="s">
        <v>2112</v>
      </c>
      <c r="AF265" s="1" t="s">
        <v>2113</v>
      </c>
    </row>
    <row r="266" spans="1:32" x14ac:dyDescent="0.25">
      <c r="A266" s="1" t="s">
        <v>65</v>
      </c>
      <c r="B266" s="1" t="s">
        <v>2114</v>
      </c>
      <c r="C266" s="1" t="s">
        <v>2115</v>
      </c>
      <c r="D266" s="1" t="s">
        <v>2116</v>
      </c>
      <c r="E266" s="24">
        <v>45939</v>
      </c>
      <c r="F266" s="2" t="s">
        <v>102</v>
      </c>
      <c r="G266" s="1" t="s">
        <v>806</v>
      </c>
      <c r="H266" s="1" t="s">
        <v>36</v>
      </c>
      <c r="I266" s="1" t="s">
        <v>37</v>
      </c>
      <c r="J266" s="1" t="s">
        <v>432</v>
      </c>
      <c r="K266" s="1" t="s">
        <v>55</v>
      </c>
      <c r="L266" s="1" t="s">
        <v>69</v>
      </c>
      <c r="M266" s="1" t="s">
        <v>109</v>
      </c>
      <c r="N266" s="1" t="s">
        <v>42</v>
      </c>
      <c r="O266" s="1" t="s">
        <v>43</v>
      </c>
      <c r="P266" s="1" t="s">
        <v>109</v>
      </c>
      <c r="Q266" s="1" t="s">
        <v>42</v>
      </c>
      <c r="R266" s="1" t="s">
        <v>97</v>
      </c>
      <c r="S266" s="1" t="s">
        <v>98</v>
      </c>
      <c r="T266" s="1" t="s">
        <v>60</v>
      </c>
      <c r="U266" s="1" t="s">
        <v>61</v>
      </c>
      <c r="V266" s="1" t="s">
        <v>2117</v>
      </c>
      <c r="W266" s="1" t="s">
        <v>35</v>
      </c>
      <c r="X266" s="1" t="s">
        <v>35</v>
      </c>
      <c r="Y266" s="1" t="s">
        <v>49</v>
      </c>
      <c r="Z266" s="1" t="s">
        <v>35</v>
      </c>
      <c r="AA266" s="1" t="s">
        <v>35</v>
      </c>
      <c r="AB266" s="1" t="s">
        <v>35</v>
      </c>
      <c r="AC266" s="1" t="s">
        <v>35</v>
      </c>
      <c r="AD266" s="1" t="s">
        <v>35</v>
      </c>
      <c r="AE266" s="1" t="s">
        <v>2118</v>
      </c>
      <c r="AF266" s="1" t="s">
        <v>2119</v>
      </c>
    </row>
    <row r="267" spans="1:32" x14ac:dyDescent="0.25">
      <c r="A267" s="1" t="s">
        <v>65</v>
      </c>
      <c r="B267" s="1" t="s">
        <v>2120</v>
      </c>
      <c r="C267" s="1" t="s">
        <v>2121</v>
      </c>
      <c r="D267" s="1" t="s">
        <v>2122</v>
      </c>
      <c r="E267" s="24">
        <v>45939</v>
      </c>
      <c r="F267" s="2" t="s">
        <v>39</v>
      </c>
      <c r="G267" s="1" t="s">
        <v>194</v>
      </c>
      <c r="H267" s="1" t="s">
        <v>36</v>
      </c>
      <c r="I267" s="1" t="s">
        <v>37</v>
      </c>
      <c r="J267" s="1" t="s">
        <v>38</v>
      </c>
      <c r="K267" s="1" t="s">
        <v>39</v>
      </c>
      <c r="L267" s="1" t="s">
        <v>242</v>
      </c>
      <c r="M267" s="1" t="s">
        <v>1773</v>
      </c>
      <c r="N267" s="1" t="s">
        <v>42</v>
      </c>
      <c r="O267" s="1" t="s">
        <v>43</v>
      </c>
      <c r="P267" s="1" t="s">
        <v>1773</v>
      </c>
      <c r="Q267" s="1" t="s">
        <v>42</v>
      </c>
      <c r="R267" s="1" t="s">
        <v>2123</v>
      </c>
      <c r="S267" s="1" t="s">
        <v>746</v>
      </c>
      <c r="T267" s="1" t="s">
        <v>60</v>
      </c>
      <c r="U267" s="1" t="s">
        <v>757</v>
      </c>
      <c r="V267" s="1" t="s">
        <v>2124</v>
      </c>
      <c r="W267" s="1" t="s">
        <v>35</v>
      </c>
      <c r="X267" s="1" t="s">
        <v>35</v>
      </c>
      <c r="Y267" s="1" t="s">
        <v>49</v>
      </c>
      <c r="Z267" s="1" t="s">
        <v>35</v>
      </c>
      <c r="AA267" s="1" t="s">
        <v>35</v>
      </c>
      <c r="AB267" s="1" t="s">
        <v>35</v>
      </c>
      <c r="AC267" s="1" t="s">
        <v>35</v>
      </c>
      <c r="AD267" s="1" t="s">
        <v>35</v>
      </c>
      <c r="AE267" s="1" t="s">
        <v>2125</v>
      </c>
      <c r="AF267" s="1" t="s">
        <v>2126</v>
      </c>
    </row>
    <row r="268" spans="1:32" x14ac:dyDescent="0.25">
      <c r="A268" s="1" t="s">
        <v>50</v>
      </c>
      <c r="B268" s="1" t="s">
        <v>2127</v>
      </c>
      <c r="C268" s="1" t="s">
        <v>2128</v>
      </c>
      <c r="D268" s="1" t="s">
        <v>2129</v>
      </c>
      <c r="E268" s="24">
        <v>45941</v>
      </c>
      <c r="F268" s="2" t="s">
        <v>103</v>
      </c>
      <c r="G268" s="1" t="s">
        <v>302</v>
      </c>
      <c r="H268" s="1" t="s">
        <v>36</v>
      </c>
      <c r="I268" s="1" t="s">
        <v>37</v>
      </c>
      <c r="J268" s="1" t="s">
        <v>38</v>
      </c>
      <c r="K268" s="1" t="s">
        <v>55</v>
      </c>
      <c r="L268" s="1" t="s">
        <v>40</v>
      </c>
      <c r="M268" s="1" t="s">
        <v>835</v>
      </c>
      <c r="N268" s="1" t="s">
        <v>42</v>
      </c>
      <c r="O268" s="1" t="s">
        <v>43</v>
      </c>
      <c r="P268" s="1" t="s">
        <v>835</v>
      </c>
      <c r="Q268" s="1" t="s">
        <v>42</v>
      </c>
      <c r="R268" s="1" t="s">
        <v>2130</v>
      </c>
      <c r="S268" s="1" t="s">
        <v>367</v>
      </c>
      <c r="T268" s="1" t="s">
        <v>46</v>
      </c>
      <c r="U268" s="1" t="s">
        <v>145</v>
      </c>
      <c r="V268" s="1" t="s">
        <v>2131</v>
      </c>
      <c r="W268" s="1" t="s">
        <v>35</v>
      </c>
      <c r="X268" s="1" t="s">
        <v>35</v>
      </c>
      <c r="Y268" s="1" t="s">
        <v>104</v>
      </c>
      <c r="Z268" s="1" t="s">
        <v>35</v>
      </c>
      <c r="AA268" s="1" t="s">
        <v>35</v>
      </c>
      <c r="AB268" s="1" t="s">
        <v>35</v>
      </c>
      <c r="AC268" s="1" t="s">
        <v>35</v>
      </c>
      <c r="AD268" s="1" t="s">
        <v>35</v>
      </c>
      <c r="AE268" s="1" t="s">
        <v>2132</v>
      </c>
      <c r="AF268" s="1" t="s">
        <v>2133</v>
      </c>
    </row>
    <row r="269" spans="1:32" x14ac:dyDescent="0.25">
      <c r="A269" s="1" t="s">
        <v>50</v>
      </c>
      <c r="B269" s="1" t="s">
        <v>2134</v>
      </c>
      <c r="C269" s="1" t="s">
        <v>2135</v>
      </c>
      <c r="D269" s="1" t="s">
        <v>2136</v>
      </c>
      <c r="E269" s="24">
        <v>45942</v>
      </c>
      <c r="F269" s="2" t="s">
        <v>103</v>
      </c>
      <c r="G269" s="1" t="s">
        <v>54</v>
      </c>
      <c r="H269" s="1" t="s">
        <v>36</v>
      </c>
      <c r="I269" s="1" t="s">
        <v>37</v>
      </c>
      <c r="J269" s="1" t="s">
        <v>38</v>
      </c>
      <c r="K269" s="1" t="s">
        <v>55</v>
      </c>
      <c r="L269" s="1" t="s">
        <v>40</v>
      </c>
      <c r="M269" s="1" t="s">
        <v>56</v>
      </c>
      <c r="N269" s="1" t="s">
        <v>42</v>
      </c>
      <c r="O269" s="1" t="s">
        <v>43</v>
      </c>
      <c r="P269" s="1" t="s">
        <v>56</v>
      </c>
      <c r="Q269" s="1" t="s">
        <v>42</v>
      </c>
      <c r="R269" s="1" t="s">
        <v>2137</v>
      </c>
      <c r="S269" s="1" t="s">
        <v>2138</v>
      </c>
      <c r="T269" s="1" t="s">
        <v>60</v>
      </c>
      <c r="U269" s="1" t="s">
        <v>145</v>
      </c>
      <c r="V269" s="1" t="s">
        <v>2139</v>
      </c>
      <c r="W269" s="1" t="s">
        <v>35</v>
      </c>
      <c r="X269" s="1" t="s">
        <v>35</v>
      </c>
      <c r="Y269" s="1" t="s">
        <v>49</v>
      </c>
      <c r="Z269" s="1" t="s">
        <v>35</v>
      </c>
      <c r="AA269" s="1" t="s">
        <v>35</v>
      </c>
      <c r="AB269" s="1" t="s">
        <v>35</v>
      </c>
      <c r="AC269" s="1" t="s">
        <v>35</v>
      </c>
      <c r="AD269" s="1" t="s">
        <v>35</v>
      </c>
      <c r="AE269" s="1" t="s">
        <v>2140</v>
      </c>
      <c r="AF269" s="1" t="s">
        <v>2141</v>
      </c>
    </row>
    <row r="270" spans="1:32" x14ac:dyDescent="0.25">
      <c r="A270" s="1" t="s">
        <v>65</v>
      </c>
      <c r="B270" s="1" t="s">
        <v>2142</v>
      </c>
      <c r="C270" s="1" t="s">
        <v>2143</v>
      </c>
      <c r="D270" s="1" t="s">
        <v>2144</v>
      </c>
      <c r="E270" s="24">
        <v>45942</v>
      </c>
      <c r="F270" s="2" t="s">
        <v>102</v>
      </c>
      <c r="G270" s="1" t="s">
        <v>54</v>
      </c>
      <c r="H270" s="1" t="s">
        <v>36</v>
      </c>
      <c r="I270" s="1" t="s">
        <v>37</v>
      </c>
      <c r="J270" s="1" t="s">
        <v>38</v>
      </c>
      <c r="K270" s="1" t="s">
        <v>55</v>
      </c>
      <c r="L270" s="1" t="s">
        <v>40</v>
      </c>
      <c r="M270" s="1" t="s">
        <v>56</v>
      </c>
      <c r="N270" s="1" t="s">
        <v>42</v>
      </c>
      <c r="O270" s="1" t="s">
        <v>43</v>
      </c>
      <c r="P270" s="1" t="s">
        <v>996</v>
      </c>
      <c r="Q270" s="1" t="s">
        <v>42</v>
      </c>
      <c r="R270" s="1" t="s">
        <v>2145</v>
      </c>
      <c r="S270" s="1" t="s">
        <v>80</v>
      </c>
      <c r="T270" s="1" t="s">
        <v>60</v>
      </c>
      <c r="U270" s="1" t="s">
        <v>145</v>
      </c>
      <c r="V270" s="1" t="s">
        <v>2146</v>
      </c>
      <c r="W270" s="1" t="s">
        <v>35</v>
      </c>
      <c r="X270" s="1" t="s">
        <v>35</v>
      </c>
      <c r="Y270" s="1" t="s">
        <v>104</v>
      </c>
      <c r="Z270" s="1" t="s">
        <v>35</v>
      </c>
      <c r="AA270" s="1" t="s">
        <v>35</v>
      </c>
      <c r="AB270" s="1" t="s">
        <v>35</v>
      </c>
      <c r="AC270" s="1" t="s">
        <v>35</v>
      </c>
      <c r="AD270" s="1" t="s">
        <v>35</v>
      </c>
      <c r="AE270" s="1" t="s">
        <v>2147</v>
      </c>
      <c r="AF270" s="1" t="s">
        <v>2148</v>
      </c>
    </row>
    <row r="271" spans="1:32" x14ac:dyDescent="0.25">
      <c r="A271" s="1" t="s">
        <v>65</v>
      </c>
      <c r="B271" s="1" t="s">
        <v>2149</v>
      </c>
      <c r="C271" s="1" t="s">
        <v>2150</v>
      </c>
      <c r="D271" s="1" t="s">
        <v>2151</v>
      </c>
      <c r="E271" s="24">
        <v>45942</v>
      </c>
      <c r="F271" s="2" t="s">
        <v>102</v>
      </c>
      <c r="G271" s="1" t="s">
        <v>54</v>
      </c>
      <c r="H271" s="1" t="s">
        <v>36</v>
      </c>
      <c r="I271" s="1" t="s">
        <v>37</v>
      </c>
      <c r="J271" s="1" t="s">
        <v>38</v>
      </c>
      <c r="K271" s="1" t="s">
        <v>55</v>
      </c>
      <c r="L271" s="1" t="s">
        <v>40</v>
      </c>
      <c r="M271" s="1" t="s">
        <v>56</v>
      </c>
      <c r="N271" s="1" t="s">
        <v>42</v>
      </c>
      <c r="O271" s="1" t="s">
        <v>43</v>
      </c>
      <c r="P271" s="1" t="s">
        <v>56</v>
      </c>
      <c r="Q271" s="1" t="s">
        <v>42</v>
      </c>
      <c r="R271" s="1" t="s">
        <v>2152</v>
      </c>
      <c r="S271" s="1" t="s">
        <v>89</v>
      </c>
      <c r="T271" s="1" t="s">
        <v>60</v>
      </c>
      <c r="U271" s="1" t="s">
        <v>1997</v>
      </c>
      <c r="V271" s="1" t="s">
        <v>2153</v>
      </c>
      <c r="W271" s="1" t="s">
        <v>35</v>
      </c>
      <c r="X271" s="1" t="s">
        <v>35</v>
      </c>
      <c r="Y271" s="1" t="s">
        <v>49</v>
      </c>
      <c r="Z271" s="1" t="s">
        <v>35</v>
      </c>
      <c r="AA271" s="1" t="s">
        <v>35</v>
      </c>
      <c r="AB271" s="1" t="s">
        <v>35</v>
      </c>
      <c r="AC271" s="1" t="s">
        <v>35</v>
      </c>
      <c r="AD271" s="1" t="s">
        <v>35</v>
      </c>
      <c r="AE271" s="1" t="s">
        <v>2154</v>
      </c>
      <c r="AF271" s="1" t="s">
        <v>2155</v>
      </c>
    </row>
    <row r="272" spans="1:32" x14ac:dyDescent="0.25">
      <c r="A272" s="1" t="s">
        <v>50</v>
      </c>
      <c r="B272" s="1" t="s">
        <v>2156</v>
      </c>
      <c r="C272" s="1" t="s">
        <v>2157</v>
      </c>
      <c r="D272" s="1" t="s">
        <v>2158</v>
      </c>
      <c r="E272" s="24">
        <v>45942</v>
      </c>
      <c r="F272" s="2" t="s">
        <v>102</v>
      </c>
      <c r="G272" s="1" t="s">
        <v>54</v>
      </c>
      <c r="H272" s="1" t="s">
        <v>36</v>
      </c>
      <c r="I272" s="1" t="s">
        <v>37</v>
      </c>
      <c r="J272" s="1" t="s">
        <v>38</v>
      </c>
      <c r="K272" s="1" t="s">
        <v>55</v>
      </c>
      <c r="L272" s="1" t="s">
        <v>40</v>
      </c>
      <c r="M272" s="1" t="s">
        <v>56</v>
      </c>
      <c r="N272" s="1" t="s">
        <v>42</v>
      </c>
      <c r="O272" s="1" t="s">
        <v>43</v>
      </c>
      <c r="P272" s="1" t="s">
        <v>56</v>
      </c>
      <c r="Q272" s="1" t="s">
        <v>42</v>
      </c>
      <c r="R272" s="1" t="s">
        <v>2159</v>
      </c>
      <c r="S272" s="1" t="s">
        <v>555</v>
      </c>
      <c r="T272" s="1" t="s">
        <v>46</v>
      </c>
      <c r="U272" s="1" t="s">
        <v>757</v>
      </c>
      <c r="V272" s="1" t="s">
        <v>2160</v>
      </c>
      <c r="W272" s="1" t="s">
        <v>35</v>
      </c>
      <c r="X272" s="1" t="s">
        <v>35</v>
      </c>
      <c r="Y272" s="1" t="s">
        <v>49</v>
      </c>
      <c r="Z272" s="1" t="s">
        <v>35</v>
      </c>
      <c r="AA272" s="1" t="s">
        <v>35</v>
      </c>
      <c r="AB272" s="1" t="s">
        <v>35</v>
      </c>
      <c r="AC272" s="1" t="s">
        <v>35</v>
      </c>
      <c r="AD272" s="1" t="s">
        <v>35</v>
      </c>
      <c r="AE272" s="1" t="s">
        <v>2161</v>
      </c>
      <c r="AF272" s="1" t="s">
        <v>2162</v>
      </c>
    </row>
    <row r="273" spans="1:32" x14ac:dyDescent="0.25">
      <c r="A273" s="1" t="s">
        <v>50</v>
      </c>
      <c r="B273" s="1" t="s">
        <v>2163</v>
      </c>
      <c r="C273" s="1" t="s">
        <v>2164</v>
      </c>
      <c r="D273" s="1" t="s">
        <v>2165</v>
      </c>
      <c r="E273" s="24">
        <v>45942</v>
      </c>
      <c r="F273" s="2" t="s">
        <v>102</v>
      </c>
      <c r="G273" s="1" t="s">
        <v>54</v>
      </c>
      <c r="H273" s="1" t="s">
        <v>36</v>
      </c>
      <c r="I273" s="1" t="s">
        <v>37</v>
      </c>
      <c r="J273" s="1" t="s">
        <v>432</v>
      </c>
      <c r="K273" s="1" t="s">
        <v>55</v>
      </c>
      <c r="L273" s="1" t="s">
        <v>2166</v>
      </c>
      <c r="M273" s="1" t="s">
        <v>2167</v>
      </c>
      <c r="N273" s="1" t="s">
        <v>42</v>
      </c>
      <c r="O273" s="1" t="s">
        <v>43</v>
      </c>
      <c r="P273" s="1" t="s">
        <v>2168</v>
      </c>
      <c r="Q273" s="1" t="s">
        <v>42</v>
      </c>
      <c r="R273" s="1" t="s">
        <v>2169</v>
      </c>
      <c r="S273" s="1" t="s">
        <v>969</v>
      </c>
      <c r="T273" s="1" t="s">
        <v>60</v>
      </c>
      <c r="U273" s="1" t="s">
        <v>757</v>
      </c>
      <c r="V273" s="1" t="s">
        <v>2170</v>
      </c>
      <c r="W273" s="1" t="s">
        <v>35</v>
      </c>
      <c r="X273" s="1" t="s">
        <v>35</v>
      </c>
      <c r="Y273" s="1" t="s">
        <v>49</v>
      </c>
      <c r="Z273" s="1" t="s">
        <v>35</v>
      </c>
      <c r="AA273" s="1" t="s">
        <v>35</v>
      </c>
      <c r="AB273" s="1" t="s">
        <v>35</v>
      </c>
      <c r="AC273" s="1" t="s">
        <v>35</v>
      </c>
      <c r="AD273" s="1" t="s">
        <v>35</v>
      </c>
      <c r="AE273" s="1" t="s">
        <v>2171</v>
      </c>
      <c r="AF273" s="1" t="s">
        <v>2172</v>
      </c>
    </row>
    <row r="274" spans="1:32" x14ac:dyDescent="0.25">
      <c r="A274" s="1" t="s">
        <v>65</v>
      </c>
      <c r="B274" s="1" t="s">
        <v>2173</v>
      </c>
      <c r="C274" s="1" t="s">
        <v>2174</v>
      </c>
      <c r="D274" s="1" t="s">
        <v>2175</v>
      </c>
      <c r="E274" s="24">
        <v>45942</v>
      </c>
      <c r="F274" s="2" t="s">
        <v>103</v>
      </c>
      <c r="G274" s="1" t="s">
        <v>54</v>
      </c>
      <c r="H274" s="1" t="s">
        <v>36</v>
      </c>
      <c r="I274" s="1" t="s">
        <v>37</v>
      </c>
      <c r="J274" s="1" t="s">
        <v>38</v>
      </c>
      <c r="K274" s="1" t="s">
        <v>55</v>
      </c>
      <c r="L274" s="1" t="s">
        <v>69</v>
      </c>
      <c r="M274" s="1" t="s">
        <v>56</v>
      </c>
      <c r="N274" s="1" t="s">
        <v>42</v>
      </c>
      <c r="O274" s="1" t="s">
        <v>43</v>
      </c>
      <c r="P274" s="1" t="s">
        <v>1459</v>
      </c>
      <c r="Q274" s="1" t="s">
        <v>42</v>
      </c>
      <c r="R274" s="1" t="s">
        <v>2176</v>
      </c>
      <c r="S274" s="1" t="s">
        <v>80</v>
      </c>
      <c r="T274" s="1" t="s">
        <v>60</v>
      </c>
      <c r="U274" s="1" t="s">
        <v>668</v>
      </c>
      <c r="V274" s="1" t="s">
        <v>2177</v>
      </c>
      <c r="W274" s="1" t="s">
        <v>35</v>
      </c>
      <c r="X274" s="1" t="s">
        <v>35</v>
      </c>
      <c r="Y274" s="1" t="s">
        <v>49</v>
      </c>
      <c r="Z274" s="1" t="s">
        <v>35</v>
      </c>
      <c r="AA274" s="1" t="s">
        <v>35</v>
      </c>
      <c r="AB274" s="1" t="s">
        <v>35</v>
      </c>
      <c r="AC274" s="1" t="s">
        <v>35</v>
      </c>
      <c r="AD274" s="1" t="s">
        <v>35</v>
      </c>
      <c r="AE274" s="1" t="s">
        <v>2178</v>
      </c>
      <c r="AF274" s="1" t="s">
        <v>2179</v>
      </c>
    </row>
    <row r="275" spans="1:32" x14ac:dyDescent="0.25">
      <c r="A275" s="1" t="s">
        <v>31</v>
      </c>
      <c r="B275" s="1" t="s">
        <v>2180</v>
      </c>
      <c r="C275" s="1" t="s">
        <v>33</v>
      </c>
      <c r="D275" s="1" t="s">
        <v>2181</v>
      </c>
      <c r="E275" s="24">
        <v>45942</v>
      </c>
      <c r="F275" s="2" t="s">
        <v>39</v>
      </c>
      <c r="G275" s="1" t="s">
        <v>194</v>
      </c>
      <c r="H275" s="1" t="s">
        <v>36</v>
      </c>
      <c r="I275" s="1" t="s">
        <v>37</v>
      </c>
      <c r="J275" s="1" t="s">
        <v>38</v>
      </c>
      <c r="K275" s="1" t="s">
        <v>39</v>
      </c>
      <c r="L275" s="1" t="s">
        <v>807</v>
      </c>
      <c r="M275" s="1" t="s">
        <v>264</v>
      </c>
      <c r="N275" s="1" t="s">
        <v>42</v>
      </c>
      <c r="O275" s="1" t="s">
        <v>43</v>
      </c>
      <c r="P275" s="1" t="s">
        <v>2182</v>
      </c>
      <c r="Q275" s="1" t="s">
        <v>42</v>
      </c>
      <c r="R275" s="1" t="s">
        <v>2183</v>
      </c>
      <c r="S275" s="1" t="s">
        <v>111</v>
      </c>
      <c r="T275" s="1" t="s">
        <v>60</v>
      </c>
      <c r="U275" s="1" t="s">
        <v>81</v>
      </c>
      <c r="V275" s="1" t="s">
        <v>2184</v>
      </c>
      <c r="W275" s="1" t="s">
        <v>35</v>
      </c>
      <c r="X275" s="1" t="s">
        <v>35</v>
      </c>
      <c r="Y275" s="1" t="s">
        <v>104</v>
      </c>
      <c r="Z275" s="1" t="s">
        <v>35</v>
      </c>
      <c r="AA275" s="1" t="s">
        <v>35</v>
      </c>
      <c r="AB275" s="1" t="s">
        <v>35</v>
      </c>
      <c r="AC275" s="1" t="s">
        <v>35</v>
      </c>
      <c r="AD275" s="1" t="s">
        <v>35</v>
      </c>
      <c r="AE275" s="1" t="s">
        <v>2185</v>
      </c>
      <c r="AF275" s="1" t="s">
        <v>2186</v>
      </c>
    </row>
    <row r="276" spans="1:32" x14ac:dyDescent="0.25">
      <c r="A276" s="1" t="s">
        <v>50</v>
      </c>
      <c r="B276" s="1" t="s">
        <v>2187</v>
      </c>
      <c r="C276" s="1" t="s">
        <v>2188</v>
      </c>
      <c r="D276" s="1" t="s">
        <v>2189</v>
      </c>
      <c r="E276" s="24">
        <v>45942</v>
      </c>
      <c r="F276" s="2" t="s">
        <v>102</v>
      </c>
      <c r="G276" s="1" t="s">
        <v>302</v>
      </c>
      <c r="H276" s="1" t="s">
        <v>36</v>
      </c>
      <c r="I276" s="1" t="s">
        <v>37</v>
      </c>
      <c r="J276" s="1" t="s">
        <v>38</v>
      </c>
      <c r="K276" s="1" t="s">
        <v>55</v>
      </c>
      <c r="L276" s="1" t="s">
        <v>40</v>
      </c>
      <c r="M276" s="1" t="s">
        <v>835</v>
      </c>
      <c r="N276" s="1" t="s">
        <v>42</v>
      </c>
      <c r="O276" s="1" t="s">
        <v>43</v>
      </c>
      <c r="P276" s="1" t="s">
        <v>835</v>
      </c>
      <c r="Q276" s="1" t="s">
        <v>42</v>
      </c>
      <c r="R276" s="1" t="s">
        <v>2190</v>
      </c>
      <c r="S276" s="1" t="s">
        <v>1253</v>
      </c>
      <c r="T276" s="1" t="s">
        <v>46</v>
      </c>
      <c r="U276" s="1" t="s">
        <v>757</v>
      </c>
      <c r="V276" s="1" t="s">
        <v>2191</v>
      </c>
      <c r="W276" s="1" t="s">
        <v>35</v>
      </c>
      <c r="X276" s="1" t="s">
        <v>35</v>
      </c>
      <c r="Y276" s="1" t="s">
        <v>104</v>
      </c>
      <c r="Z276" s="1" t="s">
        <v>35</v>
      </c>
      <c r="AA276" s="1" t="s">
        <v>35</v>
      </c>
      <c r="AB276" s="1" t="s">
        <v>35</v>
      </c>
      <c r="AC276" s="1" t="s">
        <v>35</v>
      </c>
      <c r="AD276" s="1" t="s">
        <v>35</v>
      </c>
      <c r="AE276" s="1" t="s">
        <v>2192</v>
      </c>
      <c r="AF276" s="1" t="s">
        <v>2193</v>
      </c>
    </row>
    <row r="277" spans="1:32" x14ac:dyDescent="0.25">
      <c r="A277" s="1" t="s">
        <v>65</v>
      </c>
      <c r="B277" s="1" t="s">
        <v>2194</v>
      </c>
      <c r="C277" s="1" t="s">
        <v>2195</v>
      </c>
      <c r="D277" s="1" t="s">
        <v>2196</v>
      </c>
      <c r="E277" s="24">
        <v>45943</v>
      </c>
      <c r="F277" s="2" t="s">
        <v>102</v>
      </c>
      <c r="G277" s="1" t="s">
        <v>35</v>
      </c>
      <c r="H277" s="1" t="s">
        <v>36</v>
      </c>
      <c r="I277" s="1" t="s">
        <v>37</v>
      </c>
      <c r="J277" s="1" t="s">
        <v>38</v>
      </c>
      <c r="K277" s="1" t="s">
        <v>55</v>
      </c>
      <c r="L277" s="1" t="s">
        <v>69</v>
      </c>
      <c r="M277" s="1" t="s">
        <v>1115</v>
      </c>
      <c r="N277" s="1" t="s">
        <v>42</v>
      </c>
      <c r="O277" s="1" t="s">
        <v>43</v>
      </c>
      <c r="P277" s="1" t="s">
        <v>1131</v>
      </c>
      <c r="Q277" s="1" t="s">
        <v>42</v>
      </c>
      <c r="R277" s="1" t="s">
        <v>143</v>
      </c>
      <c r="S277" s="1" t="s">
        <v>144</v>
      </c>
      <c r="T277" s="1" t="s">
        <v>60</v>
      </c>
      <c r="U277" s="1" t="s">
        <v>61</v>
      </c>
      <c r="V277" s="1" t="s">
        <v>2197</v>
      </c>
      <c r="W277" s="1" t="s">
        <v>35</v>
      </c>
      <c r="X277" s="1" t="s">
        <v>35</v>
      </c>
      <c r="Y277" s="1" t="s">
        <v>49</v>
      </c>
      <c r="Z277" s="1" t="s">
        <v>35</v>
      </c>
      <c r="AA277" s="1" t="s">
        <v>35</v>
      </c>
      <c r="AB277" s="1" t="s">
        <v>35</v>
      </c>
      <c r="AC277" s="1" t="s">
        <v>35</v>
      </c>
      <c r="AD277" s="1" t="s">
        <v>35</v>
      </c>
      <c r="AE277" s="1" t="s">
        <v>2198</v>
      </c>
      <c r="AF277" s="1" t="s">
        <v>2199</v>
      </c>
    </row>
    <row r="278" spans="1:32" x14ac:dyDescent="0.25">
      <c r="A278" s="1" t="s">
        <v>50</v>
      </c>
      <c r="B278" s="1" t="s">
        <v>2200</v>
      </c>
      <c r="C278" s="1" t="s">
        <v>2201</v>
      </c>
      <c r="D278" s="1" t="s">
        <v>2202</v>
      </c>
      <c r="E278" s="24">
        <v>45943</v>
      </c>
      <c r="F278" s="2" t="s">
        <v>102</v>
      </c>
      <c r="G278" s="1" t="s">
        <v>194</v>
      </c>
      <c r="H278" s="1" t="s">
        <v>36</v>
      </c>
      <c r="I278" s="1" t="s">
        <v>37</v>
      </c>
      <c r="J278" s="1" t="s">
        <v>38</v>
      </c>
      <c r="K278" s="1" t="s">
        <v>55</v>
      </c>
      <c r="L278" s="1" t="s">
        <v>69</v>
      </c>
      <c r="M278" s="1" t="s">
        <v>56</v>
      </c>
      <c r="N278" s="1" t="s">
        <v>42</v>
      </c>
      <c r="O278" s="1" t="s">
        <v>43</v>
      </c>
      <c r="P278" s="1" t="s">
        <v>1144</v>
      </c>
      <c r="Q278" s="1" t="s">
        <v>42</v>
      </c>
      <c r="R278" s="1" t="s">
        <v>2203</v>
      </c>
      <c r="S278" s="1" t="s">
        <v>502</v>
      </c>
      <c r="T278" s="1" t="s">
        <v>46</v>
      </c>
      <c r="U278" s="1" t="s">
        <v>1244</v>
      </c>
      <c r="V278" s="1" t="s">
        <v>2204</v>
      </c>
      <c r="W278" s="1" t="s">
        <v>35</v>
      </c>
      <c r="X278" s="1" t="s">
        <v>35</v>
      </c>
      <c r="Y278" s="1" t="s">
        <v>49</v>
      </c>
      <c r="Z278" s="1" t="s">
        <v>35</v>
      </c>
      <c r="AA278" s="1" t="s">
        <v>35</v>
      </c>
      <c r="AB278" s="1" t="s">
        <v>35</v>
      </c>
      <c r="AC278" s="1" t="s">
        <v>35</v>
      </c>
      <c r="AD278" s="1" t="s">
        <v>35</v>
      </c>
      <c r="AE278" s="1" t="s">
        <v>2205</v>
      </c>
      <c r="AF278" s="1" t="s">
        <v>2206</v>
      </c>
    </row>
    <row r="279" spans="1:32" x14ac:dyDescent="0.25">
      <c r="A279" s="1" t="s">
        <v>50</v>
      </c>
      <c r="B279" s="1" t="s">
        <v>2207</v>
      </c>
      <c r="C279" s="1" t="s">
        <v>2208</v>
      </c>
      <c r="D279" s="1" t="s">
        <v>2209</v>
      </c>
      <c r="E279" s="24">
        <v>45944</v>
      </c>
      <c r="F279" s="2" t="s">
        <v>39</v>
      </c>
      <c r="G279" s="1" t="s">
        <v>54</v>
      </c>
      <c r="H279" s="1" t="s">
        <v>36</v>
      </c>
      <c r="I279" s="1" t="s">
        <v>37</v>
      </c>
      <c r="J279" s="1" t="s">
        <v>38</v>
      </c>
      <c r="K279" s="1" t="s">
        <v>39</v>
      </c>
      <c r="L279" s="1" t="s">
        <v>176</v>
      </c>
      <c r="M279" s="1" t="s">
        <v>458</v>
      </c>
      <c r="N279" s="1" t="s">
        <v>42</v>
      </c>
      <c r="O279" s="1" t="s">
        <v>43</v>
      </c>
      <c r="P279" s="1" t="s">
        <v>467</v>
      </c>
      <c r="Q279" s="1" t="s">
        <v>42</v>
      </c>
      <c r="R279" s="1" t="s">
        <v>2210</v>
      </c>
      <c r="S279" s="1" t="s">
        <v>367</v>
      </c>
      <c r="T279" s="1" t="s">
        <v>46</v>
      </c>
      <c r="U279" s="1" t="s">
        <v>160</v>
      </c>
      <c r="V279" s="1" t="s">
        <v>2211</v>
      </c>
      <c r="W279" s="1" t="s">
        <v>35</v>
      </c>
      <c r="X279" s="1" t="s">
        <v>35</v>
      </c>
      <c r="Y279" s="1" t="s">
        <v>49</v>
      </c>
      <c r="Z279" s="1" t="s">
        <v>35</v>
      </c>
      <c r="AA279" s="1" t="s">
        <v>35</v>
      </c>
      <c r="AB279" s="1" t="s">
        <v>35</v>
      </c>
      <c r="AC279" s="1" t="s">
        <v>35</v>
      </c>
      <c r="AD279" s="1" t="s">
        <v>35</v>
      </c>
      <c r="AE279" s="1" t="s">
        <v>2212</v>
      </c>
      <c r="AF279" s="1" t="s">
        <v>2213</v>
      </c>
    </row>
    <row r="280" spans="1:32" x14ac:dyDescent="0.25">
      <c r="A280" s="1" t="s">
        <v>50</v>
      </c>
      <c r="B280" s="1" t="s">
        <v>2214</v>
      </c>
      <c r="C280" s="1" t="s">
        <v>2215</v>
      </c>
      <c r="D280" s="1" t="s">
        <v>2216</v>
      </c>
      <c r="E280" s="24">
        <v>45944</v>
      </c>
      <c r="F280" s="2" t="s">
        <v>103</v>
      </c>
      <c r="G280" s="1" t="s">
        <v>194</v>
      </c>
      <c r="H280" s="1" t="s">
        <v>36</v>
      </c>
      <c r="I280" s="1" t="s">
        <v>37</v>
      </c>
      <c r="J280" s="1" t="s">
        <v>38</v>
      </c>
      <c r="K280" s="1" t="s">
        <v>55</v>
      </c>
      <c r="L280" s="1" t="s">
        <v>69</v>
      </c>
      <c r="M280" s="1" t="s">
        <v>264</v>
      </c>
      <c r="N280" s="1" t="s">
        <v>42</v>
      </c>
      <c r="O280" s="1" t="s">
        <v>43</v>
      </c>
      <c r="P280" s="1" t="s">
        <v>2182</v>
      </c>
      <c r="Q280" s="1" t="s">
        <v>42</v>
      </c>
      <c r="R280" s="1" t="s">
        <v>2183</v>
      </c>
      <c r="S280" s="1" t="s">
        <v>111</v>
      </c>
      <c r="T280" s="1" t="s">
        <v>60</v>
      </c>
      <c r="U280" s="1" t="s">
        <v>81</v>
      </c>
      <c r="V280" s="1" t="s">
        <v>2184</v>
      </c>
      <c r="W280" s="1" t="s">
        <v>35</v>
      </c>
      <c r="X280" s="1" t="s">
        <v>35</v>
      </c>
      <c r="Y280" s="1" t="s">
        <v>104</v>
      </c>
      <c r="Z280" s="1" t="s">
        <v>35</v>
      </c>
      <c r="AA280" s="1" t="s">
        <v>35</v>
      </c>
      <c r="AB280" s="1" t="s">
        <v>35</v>
      </c>
      <c r="AC280" s="1" t="s">
        <v>35</v>
      </c>
      <c r="AD280" s="1" t="s">
        <v>35</v>
      </c>
      <c r="AE280" s="1" t="s">
        <v>2217</v>
      </c>
      <c r="AF280" s="1" t="s">
        <v>2218</v>
      </c>
    </row>
    <row r="281" spans="1:32" x14ac:dyDescent="0.25">
      <c r="A281" s="1" t="s">
        <v>65</v>
      </c>
      <c r="B281" s="1" t="s">
        <v>2219</v>
      </c>
      <c r="C281" s="1" t="s">
        <v>2220</v>
      </c>
      <c r="D281" s="1" t="s">
        <v>2221</v>
      </c>
      <c r="E281" s="24">
        <v>45944</v>
      </c>
      <c r="F281" s="2" t="s">
        <v>103</v>
      </c>
      <c r="G281" s="1" t="s">
        <v>194</v>
      </c>
      <c r="H281" s="1" t="s">
        <v>36</v>
      </c>
      <c r="I281" s="1" t="s">
        <v>37</v>
      </c>
      <c r="J281" s="1" t="s">
        <v>38</v>
      </c>
      <c r="K281" s="1" t="s">
        <v>55</v>
      </c>
      <c r="L281" s="1" t="s">
        <v>69</v>
      </c>
      <c r="M281" s="1" t="s">
        <v>56</v>
      </c>
      <c r="N281" s="1" t="s">
        <v>42</v>
      </c>
      <c r="O281" s="1" t="s">
        <v>43</v>
      </c>
      <c r="P281" s="1" t="s">
        <v>56</v>
      </c>
      <c r="Q281" s="1" t="s">
        <v>42</v>
      </c>
      <c r="R281" s="1" t="s">
        <v>2222</v>
      </c>
      <c r="S281" s="1" t="s">
        <v>111</v>
      </c>
      <c r="T281" s="1" t="s">
        <v>60</v>
      </c>
      <c r="U281" s="1" t="s">
        <v>1660</v>
      </c>
      <c r="V281" s="1" t="s">
        <v>2223</v>
      </c>
      <c r="W281" s="1" t="s">
        <v>35</v>
      </c>
      <c r="X281" s="1" t="s">
        <v>35</v>
      </c>
      <c r="Y281" s="1" t="s">
        <v>49</v>
      </c>
      <c r="Z281" s="1" t="s">
        <v>35</v>
      </c>
      <c r="AA281" s="1" t="s">
        <v>35</v>
      </c>
      <c r="AB281" s="1" t="s">
        <v>35</v>
      </c>
      <c r="AC281" s="1" t="s">
        <v>35</v>
      </c>
      <c r="AD281" s="1" t="s">
        <v>35</v>
      </c>
      <c r="AE281" s="1" t="s">
        <v>2224</v>
      </c>
      <c r="AF281" s="1" t="s">
        <v>2225</v>
      </c>
    </row>
    <row r="282" spans="1:32" x14ac:dyDescent="0.25">
      <c r="A282" s="1" t="s">
        <v>50</v>
      </c>
      <c r="B282" s="1" t="s">
        <v>2226</v>
      </c>
      <c r="C282" s="1" t="s">
        <v>2227</v>
      </c>
      <c r="D282" s="1" t="s">
        <v>2228</v>
      </c>
      <c r="E282" s="24">
        <v>45945</v>
      </c>
      <c r="F282" s="2" t="s">
        <v>102</v>
      </c>
      <c r="G282" s="1" t="s">
        <v>35</v>
      </c>
      <c r="H282" s="1" t="s">
        <v>36</v>
      </c>
      <c r="I282" s="1" t="s">
        <v>37</v>
      </c>
      <c r="J282" s="1" t="s">
        <v>38</v>
      </c>
      <c r="K282" s="1" t="s">
        <v>55</v>
      </c>
      <c r="L282" s="1" t="s">
        <v>69</v>
      </c>
      <c r="M282" s="1" t="s">
        <v>56</v>
      </c>
      <c r="N282" s="1" t="s">
        <v>42</v>
      </c>
      <c r="O282" s="1" t="s">
        <v>43</v>
      </c>
      <c r="P282" s="1" t="s">
        <v>56</v>
      </c>
      <c r="Q282" s="1" t="s">
        <v>42</v>
      </c>
      <c r="R282" s="1" t="s">
        <v>1651</v>
      </c>
      <c r="S282" s="1" t="s">
        <v>89</v>
      </c>
      <c r="T282" s="1" t="s">
        <v>60</v>
      </c>
      <c r="U282" s="1" t="s">
        <v>757</v>
      </c>
      <c r="V282" s="1" t="s">
        <v>2229</v>
      </c>
      <c r="W282" s="1" t="s">
        <v>35</v>
      </c>
      <c r="X282" s="1" t="s">
        <v>35</v>
      </c>
      <c r="Y282" s="1" t="s">
        <v>49</v>
      </c>
      <c r="Z282" s="1" t="s">
        <v>35</v>
      </c>
      <c r="AA282" s="1" t="s">
        <v>35</v>
      </c>
      <c r="AB282" s="1" t="s">
        <v>35</v>
      </c>
      <c r="AC282" s="1" t="s">
        <v>2230</v>
      </c>
      <c r="AD282" s="1" t="s">
        <v>2231</v>
      </c>
      <c r="AE282" s="1" t="s">
        <v>2232</v>
      </c>
      <c r="AF282" s="1" t="s">
        <v>2233</v>
      </c>
    </row>
    <row r="283" spans="1:32" x14ac:dyDescent="0.25">
      <c r="A283" s="1" t="s">
        <v>50</v>
      </c>
      <c r="B283" s="1" t="s">
        <v>2234</v>
      </c>
      <c r="C283" s="1" t="s">
        <v>2235</v>
      </c>
      <c r="D283" s="1" t="s">
        <v>2236</v>
      </c>
      <c r="E283" s="24">
        <v>45949</v>
      </c>
      <c r="F283" s="2" t="s">
        <v>103</v>
      </c>
      <c r="G283" s="1" t="s">
        <v>54</v>
      </c>
      <c r="H283" s="1" t="s">
        <v>36</v>
      </c>
      <c r="I283" s="1" t="s">
        <v>37</v>
      </c>
      <c r="J283" s="1" t="s">
        <v>38</v>
      </c>
      <c r="K283" s="1" t="s">
        <v>55</v>
      </c>
      <c r="L283" s="1" t="s">
        <v>40</v>
      </c>
      <c r="M283" s="1" t="s">
        <v>56</v>
      </c>
      <c r="N283" s="1" t="s">
        <v>42</v>
      </c>
      <c r="O283" s="1" t="s">
        <v>43</v>
      </c>
      <c r="P283" s="1" t="s">
        <v>56</v>
      </c>
      <c r="Q283" s="1" t="s">
        <v>42</v>
      </c>
      <c r="R283" s="1" t="s">
        <v>2237</v>
      </c>
      <c r="S283" s="1" t="s">
        <v>661</v>
      </c>
      <c r="T283" s="1" t="s">
        <v>60</v>
      </c>
      <c r="U283" s="1" t="s">
        <v>145</v>
      </c>
      <c r="V283" s="1" t="s">
        <v>2238</v>
      </c>
      <c r="W283" s="1" t="s">
        <v>35</v>
      </c>
      <c r="X283" s="1" t="s">
        <v>35</v>
      </c>
      <c r="Y283" s="1" t="s">
        <v>49</v>
      </c>
      <c r="Z283" s="1" t="s">
        <v>35</v>
      </c>
      <c r="AA283" s="1" t="s">
        <v>35</v>
      </c>
      <c r="AB283" s="1" t="s">
        <v>35</v>
      </c>
      <c r="AC283" s="1" t="s">
        <v>35</v>
      </c>
      <c r="AD283" s="1" t="s">
        <v>35</v>
      </c>
      <c r="AE283" s="1" t="s">
        <v>2239</v>
      </c>
      <c r="AF283" s="1" t="s">
        <v>2240</v>
      </c>
    </row>
    <row r="284" spans="1:32" x14ac:dyDescent="0.25">
      <c r="A284" s="1" t="s">
        <v>50</v>
      </c>
      <c r="B284" s="1" t="s">
        <v>2241</v>
      </c>
      <c r="C284" s="1" t="s">
        <v>2242</v>
      </c>
      <c r="D284" s="1" t="s">
        <v>2243</v>
      </c>
      <c r="E284" s="24">
        <v>45949</v>
      </c>
      <c r="F284" s="2" t="s">
        <v>103</v>
      </c>
      <c r="G284" s="1" t="s">
        <v>302</v>
      </c>
      <c r="H284" s="1" t="s">
        <v>36</v>
      </c>
      <c r="I284" s="1" t="s">
        <v>37</v>
      </c>
      <c r="J284" s="1" t="s">
        <v>432</v>
      </c>
      <c r="K284" s="1" t="s">
        <v>55</v>
      </c>
      <c r="L284" s="1" t="s">
        <v>40</v>
      </c>
      <c r="M284" s="1" t="s">
        <v>835</v>
      </c>
      <c r="N284" s="1" t="s">
        <v>42</v>
      </c>
      <c r="O284" s="1" t="s">
        <v>43</v>
      </c>
      <c r="P284" s="1" t="s">
        <v>835</v>
      </c>
      <c r="Q284" s="1" t="s">
        <v>42</v>
      </c>
      <c r="R284" s="1" t="s">
        <v>2244</v>
      </c>
      <c r="S284" s="1" t="s">
        <v>197</v>
      </c>
      <c r="T284" s="1" t="s">
        <v>60</v>
      </c>
      <c r="U284" s="1" t="s">
        <v>668</v>
      </c>
      <c r="V284" s="1" t="s">
        <v>2245</v>
      </c>
      <c r="W284" s="1" t="s">
        <v>35</v>
      </c>
      <c r="X284" s="1" t="s">
        <v>35</v>
      </c>
      <c r="Y284" s="1" t="s">
        <v>104</v>
      </c>
      <c r="Z284" s="1" t="s">
        <v>35</v>
      </c>
      <c r="AA284" s="1" t="s">
        <v>35</v>
      </c>
      <c r="AB284" s="1" t="s">
        <v>35</v>
      </c>
      <c r="AC284" s="1" t="s">
        <v>35</v>
      </c>
      <c r="AD284" s="1" t="s">
        <v>35</v>
      </c>
      <c r="AE284" s="1" t="s">
        <v>2246</v>
      </c>
      <c r="AF284" s="1" t="s">
        <v>2247</v>
      </c>
    </row>
    <row r="285" spans="1:32" x14ac:dyDescent="0.25">
      <c r="A285" s="1" t="s">
        <v>50</v>
      </c>
      <c r="B285" s="1" t="s">
        <v>2248</v>
      </c>
      <c r="C285" s="1" t="s">
        <v>2249</v>
      </c>
      <c r="D285" s="1" t="s">
        <v>2250</v>
      </c>
      <c r="E285" s="24">
        <v>45950</v>
      </c>
      <c r="F285" s="2" t="s">
        <v>102</v>
      </c>
      <c r="G285" s="1" t="s">
        <v>302</v>
      </c>
      <c r="H285" s="1" t="s">
        <v>36</v>
      </c>
      <c r="I285" s="1" t="s">
        <v>37</v>
      </c>
      <c r="J285" s="1" t="s">
        <v>38</v>
      </c>
      <c r="K285" s="1" t="s">
        <v>55</v>
      </c>
      <c r="L285" s="1" t="s">
        <v>242</v>
      </c>
      <c r="M285" s="1" t="s">
        <v>119</v>
      </c>
      <c r="N285" s="1" t="s">
        <v>42</v>
      </c>
      <c r="O285" s="1" t="s">
        <v>43</v>
      </c>
      <c r="P285" s="1" t="s">
        <v>230</v>
      </c>
      <c r="Q285" s="1" t="s">
        <v>42</v>
      </c>
      <c r="R285" s="1" t="s">
        <v>1429</v>
      </c>
      <c r="S285" s="1" t="s">
        <v>675</v>
      </c>
      <c r="T285" s="1" t="s">
        <v>46</v>
      </c>
      <c r="U285" s="1" t="s">
        <v>61</v>
      </c>
      <c r="V285" s="1" t="s">
        <v>2251</v>
      </c>
      <c r="W285" s="1" t="s">
        <v>35</v>
      </c>
      <c r="X285" s="1" t="s">
        <v>35</v>
      </c>
      <c r="Y285" s="1" t="s">
        <v>49</v>
      </c>
      <c r="Z285" s="1" t="s">
        <v>35</v>
      </c>
      <c r="AA285" s="1" t="s">
        <v>35</v>
      </c>
      <c r="AB285" s="1" t="s">
        <v>35</v>
      </c>
      <c r="AC285" s="1" t="s">
        <v>35</v>
      </c>
      <c r="AD285" s="1" t="s">
        <v>35</v>
      </c>
      <c r="AE285" s="1" t="s">
        <v>2252</v>
      </c>
      <c r="AF285" s="1" t="s">
        <v>2253</v>
      </c>
    </row>
    <row r="286" spans="1:32" x14ac:dyDescent="0.25">
      <c r="A286" s="1" t="s">
        <v>31</v>
      </c>
      <c r="B286" s="1" t="s">
        <v>2254</v>
      </c>
      <c r="C286" s="1" t="s">
        <v>2255</v>
      </c>
      <c r="D286" s="1" t="s">
        <v>2256</v>
      </c>
      <c r="E286" s="24">
        <v>45951</v>
      </c>
      <c r="F286" s="2" t="s">
        <v>102</v>
      </c>
      <c r="G286" s="1" t="s">
        <v>54</v>
      </c>
      <c r="H286" s="1" t="s">
        <v>36</v>
      </c>
      <c r="I286" s="1" t="s">
        <v>37</v>
      </c>
      <c r="J286" s="1" t="s">
        <v>38</v>
      </c>
      <c r="K286" s="1" t="s">
        <v>55</v>
      </c>
      <c r="L286" s="1" t="s">
        <v>176</v>
      </c>
      <c r="M286" s="1" t="s">
        <v>869</v>
      </c>
      <c r="N286" s="1" t="s">
        <v>42</v>
      </c>
      <c r="O286" s="1" t="s">
        <v>43</v>
      </c>
      <c r="P286" s="1" t="s">
        <v>1883</v>
      </c>
      <c r="Q286" s="1" t="s">
        <v>42</v>
      </c>
      <c r="R286" s="1" t="s">
        <v>2257</v>
      </c>
      <c r="S286" s="1" t="s">
        <v>667</v>
      </c>
      <c r="T286" s="1" t="s">
        <v>60</v>
      </c>
      <c r="U286" s="1" t="s">
        <v>2258</v>
      </c>
      <c r="V286" s="1" t="s">
        <v>253</v>
      </c>
      <c r="W286" s="1" t="s">
        <v>35</v>
      </c>
      <c r="X286" s="1" t="s">
        <v>35</v>
      </c>
      <c r="Y286" s="1" t="s">
        <v>49</v>
      </c>
      <c r="Z286" s="1" t="s">
        <v>35</v>
      </c>
      <c r="AA286" s="1" t="s">
        <v>35</v>
      </c>
      <c r="AB286" s="1" t="s">
        <v>35</v>
      </c>
      <c r="AC286" s="1" t="s">
        <v>35</v>
      </c>
      <c r="AD286" s="1" t="s">
        <v>35</v>
      </c>
      <c r="AE286" s="1" t="s">
        <v>2259</v>
      </c>
      <c r="AF286" s="1" t="s">
        <v>2260</v>
      </c>
    </row>
    <row r="287" spans="1:32" x14ac:dyDescent="0.25">
      <c r="A287" s="1" t="s">
        <v>65</v>
      </c>
      <c r="B287" s="1" t="s">
        <v>2261</v>
      </c>
      <c r="C287" s="1" t="s">
        <v>2262</v>
      </c>
      <c r="D287" s="1" t="s">
        <v>2263</v>
      </c>
      <c r="E287" s="24">
        <v>45952</v>
      </c>
      <c r="F287" s="2" t="s">
        <v>102</v>
      </c>
      <c r="G287" s="1" t="s">
        <v>194</v>
      </c>
      <c r="H287" s="1" t="s">
        <v>36</v>
      </c>
      <c r="I287" s="1" t="s">
        <v>37</v>
      </c>
      <c r="J287" s="1" t="s">
        <v>38</v>
      </c>
      <c r="K287" s="1" t="s">
        <v>55</v>
      </c>
      <c r="L287" s="1" t="s">
        <v>176</v>
      </c>
      <c r="M287" s="1" t="s">
        <v>177</v>
      </c>
      <c r="N287" s="1" t="s">
        <v>42</v>
      </c>
      <c r="O287" s="1" t="s">
        <v>43</v>
      </c>
      <c r="P287" s="1" t="s">
        <v>576</v>
      </c>
      <c r="Q287" s="1" t="s">
        <v>42</v>
      </c>
      <c r="R287" s="1" t="s">
        <v>434</v>
      </c>
      <c r="S287" s="1" t="s">
        <v>367</v>
      </c>
      <c r="T287" s="1" t="s">
        <v>60</v>
      </c>
      <c r="U287" s="1" t="s">
        <v>61</v>
      </c>
      <c r="V287" s="1" t="s">
        <v>2264</v>
      </c>
      <c r="W287" s="1" t="s">
        <v>35</v>
      </c>
      <c r="X287" s="1" t="s">
        <v>35</v>
      </c>
      <c r="Y287" s="1" t="s">
        <v>49</v>
      </c>
      <c r="Z287" s="1" t="s">
        <v>35</v>
      </c>
      <c r="AA287" s="1" t="s">
        <v>35</v>
      </c>
      <c r="AB287" s="1" t="s">
        <v>35</v>
      </c>
      <c r="AC287" s="1" t="s">
        <v>35</v>
      </c>
      <c r="AD287" s="1" t="s">
        <v>35</v>
      </c>
      <c r="AE287" s="1" t="s">
        <v>2265</v>
      </c>
      <c r="AF287" s="1" t="s">
        <v>2266</v>
      </c>
    </row>
    <row r="288" spans="1:32" x14ac:dyDescent="0.25">
      <c r="A288" s="1" t="s">
        <v>50</v>
      </c>
      <c r="B288" s="1" t="s">
        <v>2267</v>
      </c>
      <c r="C288" s="1" t="s">
        <v>2268</v>
      </c>
      <c r="D288" s="1" t="s">
        <v>2269</v>
      </c>
      <c r="E288" s="24">
        <v>45953</v>
      </c>
      <c r="F288" s="2" t="s">
        <v>103</v>
      </c>
      <c r="G288" s="1" t="s">
        <v>911</v>
      </c>
      <c r="H288" s="1" t="s">
        <v>36</v>
      </c>
      <c r="I288" s="1" t="s">
        <v>37</v>
      </c>
      <c r="J288" s="1" t="s">
        <v>38</v>
      </c>
      <c r="K288" s="1" t="s">
        <v>55</v>
      </c>
      <c r="L288" s="1" t="s">
        <v>242</v>
      </c>
      <c r="M288" s="1" t="s">
        <v>119</v>
      </c>
      <c r="N288" s="1" t="s">
        <v>42</v>
      </c>
      <c r="O288" s="1" t="s">
        <v>43</v>
      </c>
      <c r="P288" s="1" t="s">
        <v>433</v>
      </c>
      <c r="Q288" s="1" t="s">
        <v>42</v>
      </c>
      <c r="R288" s="1" t="s">
        <v>2270</v>
      </c>
      <c r="S288" s="1" t="s">
        <v>1411</v>
      </c>
      <c r="T288" s="1" t="s">
        <v>60</v>
      </c>
      <c r="U288" s="1" t="s">
        <v>61</v>
      </c>
      <c r="V288" s="1" t="s">
        <v>2271</v>
      </c>
      <c r="W288" s="1" t="s">
        <v>35</v>
      </c>
      <c r="X288" s="1" t="s">
        <v>35</v>
      </c>
      <c r="Y288" s="1" t="s">
        <v>49</v>
      </c>
      <c r="Z288" s="1" t="s">
        <v>35</v>
      </c>
      <c r="AA288" s="1" t="s">
        <v>35</v>
      </c>
      <c r="AB288" s="1" t="s">
        <v>35</v>
      </c>
      <c r="AC288" s="1" t="s">
        <v>35</v>
      </c>
      <c r="AD288" s="1" t="s">
        <v>35</v>
      </c>
      <c r="AE288" s="1" t="s">
        <v>35</v>
      </c>
      <c r="AF288" s="1" t="s">
        <v>35</v>
      </c>
    </row>
    <row r="289" spans="1:32" x14ac:dyDescent="0.25">
      <c r="A289" s="1" t="s">
        <v>50</v>
      </c>
      <c r="B289" s="1" t="s">
        <v>2272</v>
      </c>
      <c r="C289" s="1" t="s">
        <v>2273</v>
      </c>
      <c r="D289" s="1" t="s">
        <v>2274</v>
      </c>
      <c r="E289" s="24">
        <v>45953</v>
      </c>
      <c r="F289" s="2" t="s">
        <v>103</v>
      </c>
      <c r="G289" s="1" t="s">
        <v>54</v>
      </c>
      <c r="H289" s="1" t="s">
        <v>36</v>
      </c>
      <c r="I289" s="1" t="s">
        <v>37</v>
      </c>
      <c r="J289" s="1" t="s">
        <v>38</v>
      </c>
      <c r="K289" s="1" t="s">
        <v>55</v>
      </c>
      <c r="L289" s="1" t="s">
        <v>40</v>
      </c>
      <c r="M289" s="1" t="s">
        <v>56</v>
      </c>
      <c r="N289" s="1" t="s">
        <v>42</v>
      </c>
      <c r="O289" s="1" t="s">
        <v>43</v>
      </c>
      <c r="P289" s="1" t="s">
        <v>56</v>
      </c>
      <c r="Q289" s="1" t="s">
        <v>42</v>
      </c>
      <c r="R289" s="1" t="s">
        <v>2275</v>
      </c>
      <c r="S289" s="1" t="s">
        <v>2276</v>
      </c>
      <c r="T289" s="1" t="s">
        <v>46</v>
      </c>
      <c r="U289" s="1" t="s">
        <v>61</v>
      </c>
      <c r="V289" s="1" t="s">
        <v>2277</v>
      </c>
      <c r="W289" s="1" t="s">
        <v>1154</v>
      </c>
      <c r="X289" s="1" t="s">
        <v>2278</v>
      </c>
      <c r="Y289" s="1" t="s">
        <v>49</v>
      </c>
      <c r="Z289" s="1" t="s">
        <v>35</v>
      </c>
      <c r="AA289" s="1" t="s">
        <v>35</v>
      </c>
      <c r="AB289" s="1" t="s">
        <v>35</v>
      </c>
      <c r="AC289" s="1" t="s">
        <v>35</v>
      </c>
      <c r="AD289" s="1" t="s">
        <v>35</v>
      </c>
      <c r="AE289" s="1" t="s">
        <v>2279</v>
      </c>
      <c r="AF289" s="1" t="s">
        <v>2280</v>
      </c>
    </row>
    <row r="290" spans="1:32" x14ac:dyDescent="0.25">
      <c r="A290" s="1" t="s">
        <v>65</v>
      </c>
      <c r="B290" s="1" t="s">
        <v>2281</v>
      </c>
      <c r="C290" s="1" t="s">
        <v>2282</v>
      </c>
      <c r="D290" s="1" t="s">
        <v>2283</v>
      </c>
      <c r="E290" s="24">
        <v>45957</v>
      </c>
      <c r="F290" s="2" t="s">
        <v>102</v>
      </c>
      <c r="G290" s="1" t="s">
        <v>194</v>
      </c>
      <c r="H290" s="1" t="s">
        <v>36</v>
      </c>
      <c r="I290" s="1" t="s">
        <v>37</v>
      </c>
      <c r="J290" s="1" t="s">
        <v>38</v>
      </c>
      <c r="K290" s="1" t="s">
        <v>55</v>
      </c>
      <c r="L290" s="1" t="s">
        <v>242</v>
      </c>
      <c r="M290" s="1" t="s">
        <v>835</v>
      </c>
      <c r="N290" s="1" t="s">
        <v>42</v>
      </c>
      <c r="O290" s="1" t="s">
        <v>43</v>
      </c>
      <c r="P290" s="1" t="s">
        <v>835</v>
      </c>
      <c r="Q290" s="1" t="s">
        <v>42</v>
      </c>
      <c r="R290" s="1" t="s">
        <v>434</v>
      </c>
      <c r="S290" s="1" t="s">
        <v>367</v>
      </c>
      <c r="T290" s="1" t="s">
        <v>60</v>
      </c>
      <c r="U290" s="1" t="s">
        <v>61</v>
      </c>
      <c r="V290" s="1" t="s">
        <v>2284</v>
      </c>
      <c r="W290" s="1" t="s">
        <v>35</v>
      </c>
      <c r="X290" s="1" t="s">
        <v>35</v>
      </c>
      <c r="Y290" s="1" t="s">
        <v>49</v>
      </c>
      <c r="Z290" s="1" t="s">
        <v>35</v>
      </c>
      <c r="AA290" s="1" t="s">
        <v>35</v>
      </c>
      <c r="AB290" s="1" t="s">
        <v>35</v>
      </c>
      <c r="AC290" s="1" t="s">
        <v>35</v>
      </c>
      <c r="AD290" s="1" t="s">
        <v>35</v>
      </c>
      <c r="AE290" s="1" t="s">
        <v>2285</v>
      </c>
      <c r="AF290" s="1" t="s">
        <v>2286</v>
      </c>
    </row>
    <row r="291" spans="1:32" x14ac:dyDescent="0.25">
      <c r="A291" s="1" t="s">
        <v>50</v>
      </c>
      <c r="B291" s="1" t="s">
        <v>2287</v>
      </c>
      <c r="C291" s="1" t="s">
        <v>2288</v>
      </c>
      <c r="D291" s="1" t="s">
        <v>2289</v>
      </c>
      <c r="E291" s="2">
        <v>45958</v>
      </c>
      <c r="F291" s="2" t="s">
        <v>102</v>
      </c>
      <c r="G291" s="1" t="s">
        <v>302</v>
      </c>
      <c r="H291" s="1" t="s">
        <v>36</v>
      </c>
      <c r="I291" s="1" t="s">
        <v>37</v>
      </c>
      <c r="J291" s="1" t="s">
        <v>38</v>
      </c>
      <c r="K291" s="1" t="s">
        <v>55</v>
      </c>
      <c r="L291" s="1" t="s">
        <v>242</v>
      </c>
      <c r="M291" s="1" t="s">
        <v>835</v>
      </c>
      <c r="N291" s="1" t="s">
        <v>42</v>
      </c>
      <c r="O291" s="1" t="s">
        <v>43</v>
      </c>
      <c r="P291" s="1" t="s">
        <v>835</v>
      </c>
      <c r="Q291" s="1" t="s">
        <v>42</v>
      </c>
      <c r="R291" s="1" t="s">
        <v>2290</v>
      </c>
      <c r="S291" s="1" t="s">
        <v>2291</v>
      </c>
      <c r="T291" s="1" t="s">
        <v>60</v>
      </c>
      <c r="U291" s="1" t="s">
        <v>145</v>
      </c>
      <c r="V291" s="1" t="s">
        <v>2292</v>
      </c>
      <c r="W291" s="1" t="s">
        <v>35</v>
      </c>
      <c r="X291" s="1" t="s">
        <v>35</v>
      </c>
      <c r="Y291" s="1" t="s">
        <v>49</v>
      </c>
      <c r="Z291" s="1" t="s">
        <v>35</v>
      </c>
      <c r="AA291" s="1" t="s">
        <v>35</v>
      </c>
      <c r="AB291" s="1" t="s">
        <v>35</v>
      </c>
      <c r="AC291" s="1" t="s">
        <v>35</v>
      </c>
      <c r="AD291" s="1" t="s">
        <v>35</v>
      </c>
      <c r="AE291" s="1" t="s">
        <v>2293</v>
      </c>
      <c r="AF291" s="1" t="s">
        <v>2294</v>
      </c>
    </row>
    <row r="292" spans="1:32" x14ac:dyDescent="0.25">
      <c r="A292" s="1" t="s">
        <v>31</v>
      </c>
      <c r="B292" s="1" t="s">
        <v>2295</v>
      </c>
      <c r="C292" s="1" t="s">
        <v>33</v>
      </c>
      <c r="D292" s="1" t="s">
        <v>2296</v>
      </c>
      <c r="E292" s="2">
        <v>45959</v>
      </c>
      <c r="F292" s="2" t="s">
        <v>39</v>
      </c>
      <c r="G292" s="1" t="s">
        <v>35</v>
      </c>
      <c r="H292" s="1" t="s">
        <v>36</v>
      </c>
      <c r="I292" s="1" t="s">
        <v>37</v>
      </c>
      <c r="J292" s="1" t="s">
        <v>432</v>
      </c>
      <c r="K292" s="1" t="s">
        <v>39</v>
      </c>
      <c r="L292" s="1" t="s">
        <v>432</v>
      </c>
      <c r="M292" s="1" t="s">
        <v>2297</v>
      </c>
      <c r="N292" s="1" t="s">
        <v>42</v>
      </c>
      <c r="O292" s="1" t="s">
        <v>43</v>
      </c>
      <c r="P292" s="1" t="s">
        <v>2297</v>
      </c>
      <c r="Q292" s="1" t="s">
        <v>42</v>
      </c>
      <c r="R292" s="1" t="s">
        <v>2210</v>
      </c>
      <c r="S292" s="1" t="s">
        <v>367</v>
      </c>
      <c r="T292" s="1" t="s">
        <v>46</v>
      </c>
      <c r="U292" s="1" t="s">
        <v>160</v>
      </c>
      <c r="V292" s="1" t="s">
        <v>2298</v>
      </c>
      <c r="W292" s="1" t="s">
        <v>35</v>
      </c>
      <c r="X292" s="1" t="s">
        <v>35</v>
      </c>
      <c r="Y292" s="1" t="s">
        <v>49</v>
      </c>
      <c r="Z292" s="1" t="s">
        <v>35</v>
      </c>
      <c r="AA292" s="1" t="s">
        <v>35</v>
      </c>
      <c r="AB292" s="1" t="s">
        <v>35</v>
      </c>
      <c r="AC292" s="1" t="s">
        <v>35</v>
      </c>
      <c r="AD292" s="1" t="s">
        <v>35</v>
      </c>
      <c r="AE292" s="1" t="s">
        <v>35</v>
      </c>
      <c r="AF292" s="1" t="s">
        <v>35</v>
      </c>
    </row>
    <row r="293" spans="1:32" x14ac:dyDescent="0.25">
      <c r="A293" s="1" t="s">
        <v>50</v>
      </c>
      <c r="B293" s="1" t="s">
        <v>2299</v>
      </c>
      <c r="C293" s="1" t="s">
        <v>2300</v>
      </c>
      <c r="D293" s="1" t="s">
        <v>2301</v>
      </c>
      <c r="E293" s="2">
        <v>45959</v>
      </c>
      <c r="F293" s="2" t="s">
        <v>103</v>
      </c>
      <c r="G293" s="1" t="s">
        <v>54</v>
      </c>
      <c r="H293" s="1" t="s">
        <v>36</v>
      </c>
      <c r="I293" s="1" t="s">
        <v>37</v>
      </c>
      <c r="J293" s="1" t="s">
        <v>38</v>
      </c>
      <c r="K293" s="1" t="s">
        <v>55</v>
      </c>
      <c r="L293" s="1" t="s">
        <v>69</v>
      </c>
      <c r="M293" s="1" t="s">
        <v>1729</v>
      </c>
      <c r="N293" s="1" t="s">
        <v>42</v>
      </c>
      <c r="O293" s="1" t="s">
        <v>43</v>
      </c>
      <c r="P293" s="1" t="s">
        <v>1729</v>
      </c>
      <c r="Q293" s="1" t="s">
        <v>42</v>
      </c>
      <c r="R293" s="1" t="s">
        <v>2302</v>
      </c>
      <c r="S293" s="1" t="s">
        <v>259</v>
      </c>
      <c r="T293" s="1" t="s">
        <v>46</v>
      </c>
      <c r="U293" s="1" t="s">
        <v>145</v>
      </c>
      <c r="V293" s="1" t="s">
        <v>2303</v>
      </c>
      <c r="W293" s="1" t="s">
        <v>35</v>
      </c>
      <c r="X293" s="1" t="s">
        <v>35</v>
      </c>
      <c r="Y293" s="1" t="s">
        <v>49</v>
      </c>
      <c r="Z293" s="1" t="s">
        <v>35</v>
      </c>
      <c r="AA293" s="1" t="s">
        <v>35</v>
      </c>
      <c r="AB293" s="1" t="s">
        <v>35</v>
      </c>
      <c r="AC293" s="1" t="s">
        <v>35</v>
      </c>
      <c r="AD293" s="1" t="s">
        <v>35</v>
      </c>
      <c r="AE293" s="1" t="s">
        <v>2304</v>
      </c>
      <c r="AF293" s="1" t="s">
        <v>2305</v>
      </c>
    </row>
    <row r="294" spans="1:32" x14ac:dyDescent="0.25">
      <c r="A294" s="1" t="s">
        <v>50</v>
      </c>
      <c r="B294" s="1" t="s">
        <v>2306</v>
      </c>
      <c r="C294" s="1" t="s">
        <v>2307</v>
      </c>
      <c r="D294" s="1" t="s">
        <v>2308</v>
      </c>
      <c r="E294" s="2">
        <v>45960</v>
      </c>
      <c r="F294" s="2" t="s">
        <v>102</v>
      </c>
      <c r="G294" s="1" t="s">
        <v>35</v>
      </c>
      <c r="H294" s="1" t="s">
        <v>36</v>
      </c>
      <c r="I294" s="1" t="s">
        <v>37</v>
      </c>
      <c r="J294" s="1" t="s">
        <v>38</v>
      </c>
      <c r="K294" s="1" t="s">
        <v>55</v>
      </c>
      <c r="L294" s="1" t="s">
        <v>242</v>
      </c>
      <c r="M294" s="1" t="s">
        <v>1554</v>
      </c>
      <c r="N294" s="1" t="s">
        <v>42</v>
      </c>
      <c r="O294" s="1" t="s">
        <v>43</v>
      </c>
      <c r="P294" s="1" t="s">
        <v>2309</v>
      </c>
      <c r="Q294" s="1" t="s">
        <v>1643</v>
      </c>
      <c r="R294" s="1" t="s">
        <v>2310</v>
      </c>
      <c r="S294" s="1" t="s">
        <v>89</v>
      </c>
      <c r="T294" s="1" t="s">
        <v>46</v>
      </c>
      <c r="U294" s="1" t="s">
        <v>61</v>
      </c>
      <c r="V294" s="1" t="s">
        <v>2311</v>
      </c>
      <c r="W294" s="1" t="s">
        <v>35</v>
      </c>
      <c r="X294" s="1" t="s">
        <v>35</v>
      </c>
      <c r="Y294" s="1" t="s">
        <v>49</v>
      </c>
      <c r="Z294" s="1" t="s">
        <v>35</v>
      </c>
      <c r="AA294" s="1" t="s">
        <v>35</v>
      </c>
      <c r="AB294" s="1" t="s">
        <v>35</v>
      </c>
      <c r="AC294" s="1" t="s">
        <v>35</v>
      </c>
      <c r="AD294" s="1" t="s">
        <v>35</v>
      </c>
      <c r="AE294" s="1" t="s">
        <v>2312</v>
      </c>
      <c r="AF294" s="1" t="s">
        <v>2313</v>
      </c>
    </row>
    <row r="295" spans="1:32" x14ac:dyDescent="0.25">
      <c r="A295" s="1" t="s">
        <v>65</v>
      </c>
      <c r="B295" s="1" t="s">
        <v>2314</v>
      </c>
      <c r="C295" s="1" t="s">
        <v>2315</v>
      </c>
      <c r="D295" s="1" t="s">
        <v>2316</v>
      </c>
      <c r="E295" s="2">
        <v>45963</v>
      </c>
      <c r="F295" s="2" t="s">
        <v>102</v>
      </c>
      <c r="G295" s="1" t="s">
        <v>35</v>
      </c>
      <c r="H295" s="1" t="s">
        <v>36</v>
      </c>
      <c r="I295" s="1" t="s">
        <v>37</v>
      </c>
      <c r="J295" s="1" t="s">
        <v>38</v>
      </c>
      <c r="K295" s="1" t="s">
        <v>55</v>
      </c>
      <c r="L295" s="1" t="s">
        <v>69</v>
      </c>
      <c r="M295" s="1" t="s">
        <v>1115</v>
      </c>
      <c r="N295" s="1" t="s">
        <v>42</v>
      </c>
      <c r="O295" s="1" t="s">
        <v>43</v>
      </c>
      <c r="P295" s="1" t="s">
        <v>2317</v>
      </c>
      <c r="Q295" s="1" t="s">
        <v>2318</v>
      </c>
      <c r="R295" s="1" t="s">
        <v>391</v>
      </c>
      <c r="S295" s="1" t="s">
        <v>392</v>
      </c>
      <c r="T295" s="1" t="s">
        <v>60</v>
      </c>
      <c r="U295" s="1" t="s">
        <v>61</v>
      </c>
      <c r="V295" s="1" t="s">
        <v>2319</v>
      </c>
      <c r="W295" s="1" t="s">
        <v>35</v>
      </c>
      <c r="X295" s="1" t="s">
        <v>35</v>
      </c>
      <c r="Y295" s="1" t="s">
        <v>49</v>
      </c>
      <c r="Z295" s="1" t="s">
        <v>35</v>
      </c>
      <c r="AA295" s="1" t="s">
        <v>35</v>
      </c>
      <c r="AB295" s="1" t="s">
        <v>35</v>
      </c>
      <c r="AC295" s="1" t="s">
        <v>35</v>
      </c>
      <c r="AD295" s="1" t="s">
        <v>35</v>
      </c>
      <c r="AE295" s="1" t="s">
        <v>2320</v>
      </c>
      <c r="AF295" s="1" t="s">
        <v>2321</v>
      </c>
    </row>
    <row r="296" spans="1:32" x14ac:dyDescent="0.25">
      <c r="A296" s="1" t="s">
        <v>50</v>
      </c>
      <c r="B296" s="1" t="s">
        <v>2322</v>
      </c>
      <c r="C296" s="1" t="s">
        <v>2323</v>
      </c>
      <c r="D296" s="1" t="s">
        <v>2324</v>
      </c>
      <c r="E296" s="2">
        <v>45963</v>
      </c>
      <c r="F296" s="2" t="s">
        <v>102</v>
      </c>
      <c r="G296" s="1" t="s">
        <v>302</v>
      </c>
      <c r="H296" s="1" t="s">
        <v>36</v>
      </c>
      <c r="I296" s="1" t="s">
        <v>37</v>
      </c>
      <c r="J296" s="1" t="s">
        <v>38</v>
      </c>
      <c r="K296" s="1" t="s">
        <v>55</v>
      </c>
      <c r="L296" s="1" t="s">
        <v>176</v>
      </c>
      <c r="M296" s="1" t="s">
        <v>177</v>
      </c>
      <c r="N296" s="1" t="s">
        <v>42</v>
      </c>
      <c r="O296" s="1" t="s">
        <v>43</v>
      </c>
      <c r="P296" s="1" t="s">
        <v>1161</v>
      </c>
      <c r="Q296" s="1" t="s">
        <v>42</v>
      </c>
      <c r="R296" s="1" t="s">
        <v>2325</v>
      </c>
      <c r="S296" s="1" t="s">
        <v>409</v>
      </c>
      <c r="T296" s="1" t="s">
        <v>60</v>
      </c>
      <c r="U296" s="1" t="s">
        <v>757</v>
      </c>
      <c r="V296" s="1" t="s">
        <v>2326</v>
      </c>
      <c r="W296" s="1" t="s">
        <v>35</v>
      </c>
      <c r="X296" s="1" t="s">
        <v>35</v>
      </c>
      <c r="Y296" s="1" t="s">
        <v>49</v>
      </c>
      <c r="Z296" s="1" t="s">
        <v>35</v>
      </c>
      <c r="AA296" s="1" t="s">
        <v>35</v>
      </c>
      <c r="AB296" s="1" t="s">
        <v>35</v>
      </c>
      <c r="AC296" s="1" t="s">
        <v>35</v>
      </c>
      <c r="AD296" s="1" t="s">
        <v>35</v>
      </c>
      <c r="AE296" s="1" t="s">
        <v>2327</v>
      </c>
      <c r="AF296" s="1" t="s">
        <v>2328</v>
      </c>
    </row>
    <row r="297" spans="1:32" x14ac:dyDescent="0.25">
      <c r="A297" s="1" t="s">
        <v>50</v>
      </c>
      <c r="B297" s="1" t="s">
        <v>2329</v>
      </c>
      <c r="C297" s="1" t="s">
        <v>2330</v>
      </c>
      <c r="D297" s="1" t="s">
        <v>2331</v>
      </c>
      <c r="E297" s="2">
        <v>45964</v>
      </c>
      <c r="F297" s="2" t="s">
        <v>102</v>
      </c>
      <c r="G297" s="1" t="s">
        <v>54</v>
      </c>
      <c r="H297" s="1" t="s">
        <v>36</v>
      </c>
      <c r="I297" s="1" t="s">
        <v>37</v>
      </c>
      <c r="J297" s="1" t="s">
        <v>38</v>
      </c>
      <c r="K297" s="1" t="s">
        <v>55</v>
      </c>
      <c r="L297" s="1" t="s">
        <v>69</v>
      </c>
      <c r="M297" s="1" t="s">
        <v>56</v>
      </c>
      <c r="N297" s="1" t="s">
        <v>42</v>
      </c>
      <c r="O297" s="1" t="s">
        <v>43</v>
      </c>
      <c r="P297" s="1" t="s">
        <v>1161</v>
      </c>
      <c r="Q297" s="1" t="s">
        <v>42</v>
      </c>
      <c r="R297" s="1" t="s">
        <v>2332</v>
      </c>
      <c r="S297" s="1" t="s">
        <v>322</v>
      </c>
      <c r="T297" s="1" t="s">
        <v>46</v>
      </c>
      <c r="U297" s="1" t="s">
        <v>61</v>
      </c>
      <c r="V297" s="1" t="s">
        <v>2333</v>
      </c>
      <c r="W297" s="1" t="s">
        <v>35</v>
      </c>
      <c r="X297" s="1" t="s">
        <v>35</v>
      </c>
      <c r="Y297" s="1" t="s">
        <v>49</v>
      </c>
      <c r="Z297" s="1" t="s">
        <v>35</v>
      </c>
      <c r="AA297" s="1" t="s">
        <v>35</v>
      </c>
      <c r="AB297" s="1" t="s">
        <v>35</v>
      </c>
      <c r="AC297" s="1" t="s">
        <v>1547</v>
      </c>
      <c r="AD297" s="1" t="s">
        <v>2334</v>
      </c>
      <c r="AE297" s="1" t="s">
        <v>2335</v>
      </c>
      <c r="AF297" s="1" t="s">
        <v>2336</v>
      </c>
    </row>
    <row r="298" spans="1:32" x14ac:dyDescent="0.25">
      <c r="A298" s="1" t="s">
        <v>65</v>
      </c>
      <c r="B298" s="1" t="s">
        <v>2337</v>
      </c>
      <c r="C298" s="1" t="s">
        <v>2338</v>
      </c>
      <c r="D298" s="1" t="s">
        <v>2339</v>
      </c>
      <c r="E298" s="24">
        <v>45964</v>
      </c>
      <c r="F298" s="2" t="s">
        <v>102</v>
      </c>
      <c r="G298" s="1" t="s">
        <v>35</v>
      </c>
      <c r="H298" s="1" t="s">
        <v>36</v>
      </c>
      <c r="I298" s="1" t="s">
        <v>37</v>
      </c>
      <c r="J298" s="1" t="s">
        <v>38</v>
      </c>
      <c r="K298" s="1" t="s">
        <v>55</v>
      </c>
      <c r="L298" s="1" t="s">
        <v>40</v>
      </c>
      <c r="M298" s="1" t="s">
        <v>56</v>
      </c>
      <c r="N298" s="1" t="s">
        <v>42</v>
      </c>
      <c r="O298" s="1" t="s">
        <v>43</v>
      </c>
      <c r="P298" s="1" t="s">
        <v>87</v>
      </c>
      <c r="Q298" s="1" t="s">
        <v>42</v>
      </c>
      <c r="R298" s="1" t="s">
        <v>2340</v>
      </c>
      <c r="S298" s="1" t="s">
        <v>1706</v>
      </c>
      <c r="T298" s="1" t="s">
        <v>60</v>
      </c>
      <c r="U298" s="1" t="s">
        <v>61</v>
      </c>
      <c r="V298" s="1" t="s">
        <v>2341</v>
      </c>
      <c r="W298" s="1" t="s">
        <v>35</v>
      </c>
      <c r="X298" s="1" t="s">
        <v>35</v>
      </c>
      <c r="Y298" s="1" t="s">
        <v>49</v>
      </c>
      <c r="Z298" s="1" t="s">
        <v>35</v>
      </c>
      <c r="AA298" s="1" t="s">
        <v>35</v>
      </c>
      <c r="AB298" s="1" t="s">
        <v>35</v>
      </c>
      <c r="AC298" s="1" t="s">
        <v>35</v>
      </c>
      <c r="AD298" s="1" t="s">
        <v>35</v>
      </c>
      <c r="AE298" s="1" t="s">
        <v>2342</v>
      </c>
      <c r="AF298" s="1" t="s">
        <v>2343</v>
      </c>
    </row>
    <row r="299" spans="1:32" x14ac:dyDescent="0.25">
      <c r="A299" s="1" t="s">
        <v>105</v>
      </c>
      <c r="B299" s="1" t="s">
        <v>2344</v>
      </c>
      <c r="C299" s="1" t="s">
        <v>2345</v>
      </c>
      <c r="D299" s="1" t="s">
        <v>2346</v>
      </c>
      <c r="E299" s="24">
        <v>45964</v>
      </c>
      <c r="F299" s="2" t="s">
        <v>1689</v>
      </c>
      <c r="G299" s="1" t="s">
        <v>54</v>
      </c>
      <c r="H299" s="1" t="s">
        <v>36</v>
      </c>
      <c r="I299" s="1" t="s">
        <v>37</v>
      </c>
      <c r="J299" s="1" t="s">
        <v>38</v>
      </c>
      <c r="K299" s="1" t="s">
        <v>55</v>
      </c>
      <c r="L299" s="1" t="s">
        <v>69</v>
      </c>
      <c r="M299" s="1" t="s">
        <v>56</v>
      </c>
      <c r="N299" s="1" t="s">
        <v>42</v>
      </c>
      <c r="O299" s="1" t="s">
        <v>43</v>
      </c>
      <c r="P299" s="1" t="s">
        <v>158</v>
      </c>
      <c r="Q299" s="1" t="s">
        <v>42</v>
      </c>
      <c r="R299" s="1" t="s">
        <v>2347</v>
      </c>
      <c r="S299" s="1" t="s">
        <v>89</v>
      </c>
      <c r="T299" s="1" t="s">
        <v>60</v>
      </c>
      <c r="U299" s="1" t="s">
        <v>112</v>
      </c>
      <c r="V299" s="1" t="s">
        <v>2348</v>
      </c>
      <c r="W299" s="1" t="s">
        <v>35</v>
      </c>
      <c r="X299" s="1" t="s">
        <v>35</v>
      </c>
      <c r="Y299" s="1" t="s">
        <v>49</v>
      </c>
      <c r="Z299" s="1" t="s">
        <v>35</v>
      </c>
      <c r="AA299" s="1" t="s">
        <v>35</v>
      </c>
      <c r="AB299" s="1" t="s">
        <v>35</v>
      </c>
      <c r="AC299" s="1" t="s">
        <v>35</v>
      </c>
      <c r="AD299" s="1" t="s">
        <v>35</v>
      </c>
      <c r="AE299" s="1" t="s">
        <v>2349</v>
      </c>
      <c r="AF299" s="1" t="s">
        <v>2350</v>
      </c>
    </row>
    <row r="300" spans="1:32" x14ac:dyDescent="0.25">
      <c r="A300" s="51" t="s">
        <v>105</v>
      </c>
      <c r="B300" s="51">
        <v>1079449771</v>
      </c>
      <c r="C300" s="51" t="s">
        <v>2351</v>
      </c>
      <c r="D300" s="51" t="s">
        <v>2352</v>
      </c>
      <c r="E300" s="52">
        <v>45966</v>
      </c>
      <c r="F300" s="53" t="s">
        <v>102</v>
      </c>
      <c r="G300" s="1" t="s">
        <v>54</v>
      </c>
      <c r="H300" s="1" t="s">
        <v>36</v>
      </c>
      <c r="I300" s="1" t="s">
        <v>37</v>
      </c>
      <c r="J300" s="1" t="s">
        <v>38</v>
      </c>
      <c r="K300" s="1" t="s">
        <v>55</v>
      </c>
      <c r="L300" s="1" t="s">
        <v>69</v>
      </c>
      <c r="M300" s="1" t="s">
        <v>658</v>
      </c>
      <c r="N300" s="1" t="s">
        <v>42</v>
      </c>
      <c r="O300" s="1" t="s">
        <v>43</v>
      </c>
      <c r="P300" s="1" t="s">
        <v>1044</v>
      </c>
      <c r="Q300" s="1" t="s">
        <v>42</v>
      </c>
      <c r="R300" s="1" t="s">
        <v>2353</v>
      </c>
      <c r="S300" s="1" t="s">
        <v>367</v>
      </c>
      <c r="T300" s="1" t="s">
        <v>60</v>
      </c>
      <c r="U300" s="1" t="s">
        <v>112</v>
      </c>
      <c r="V300" s="1" t="s">
        <v>2354</v>
      </c>
      <c r="W300" s="1" t="s">
        <v>35</v>
      </c>
      <c r="X300" s="1" t="s">
        <v>35</v>
      </c>
      <c r="Y300" s="1" t="s">
        <v>49</v>
      </c>
      <c r="Z300" s="1" t="s">
        <v>35</v>
      </c>
      <c r="AA300" s="1" t="s">
        <v>35</v>
      </c>
      <c r="AB300" s="1" t="s">
        <v>35</v>
      </c>
      <c r="AC300" s="1" t="s">
        <v>35</v>
      </c>
      <c r="AD300" s="1" t="s">
        <v>35</v>
      </c>
      <c r="AE300" s="1" t="s">
        <v>2355</v>
      </c>
      <c r="AF300" s="1" t="s">
        <v>2356</v>
      </c>
    </row>
    <row r="301" spans="1:32" x14ac:dyDescent="0.25">
      <c r="A301" s="1" t="s">
        <v>65</v>
      </c>
      <c r="B301" s="1" t="s">
        <v>2357</v>
      </c>
      <c r="C301" s="1" t="s">
        <v>2358</v>
      </c>
      <c r="D301" s="1" t="s">
        <v>2359</v>
      </c>
      <c r="E301" s="24">
        <v>45966</v>
      </c>
      <c r="F301" s="2" t="s">
        <v>103</v>
      </c>
      <c r="G301" s="1" t="s">
        <v>194</v>
      </c>
      <c r="H301" s="1" t="s">
        <v>36</v>
      </c>
      <c r="I301" s="1" t="s">
        <v>37</v>
      </c>
      <c r="J301" s="1" t="s">
        <v>38</v>
      </c>
      <c r="K301" s="1" t="s">
        <v>55</v>
      </c>
      <c r="L301" s="1" t="s">
        <v>69</v>
      </c>
      <c r="M301" s="1" t="s">
        <v>264</v>
      </c>
      <c r="N301" s="1" t="s">
        <v>42</v>
      </c>
      <c r="O301" s="1" t="s">
        <v>43</v>
      </c>
      <c r="P301" s="1" t="s">
        <v>2360</v>
      </c>
      <c r="Q301" s="1" t="s">
        <v>42</v>
      </c>
      <c r="R301" s="1" t="s">
        <v>2361</v>
      </c>
      <c r="S301" s="1" t="s">
        <v>122</v>
      </c>
      <c r="T301" s="1" t="s">
        <v>60</v>
      </c>
      <c r="U301" s="1" t="s">
        <v>145</v>
      </c>
      <c r="V301" s="1" t="s">
        <v>2362</v>
      </c>
      <c r="W301" s="1" t="s">
        <v>35</v>
      </c>
      <c r="X301" s="1" t="s">
        <v>35</v>
      </c>
      <c r="Y301" s="1" t="s">
        <v>49</v>
      </c>
      <c r="Z301" s="1" t="s">
        <v>35</v>
      </c>
      <c r="AA301" s="1" t="s">
        <v>35</v>
      </c>
      <c r="AB301" s="1" t="s">
        <v>35</v>
      </c>
      <c r="AC301" s="1" t="s">
        <v>35</v>
      </c>
      <c r="AD301" s="1" t="s">
        <v>35</v>
      </c>
      <c r="AE301" s="1" t="s">
        <v>2363</v>
      </c>
      <c r="AF301" s="1" t="s">
        <v>2364</v>
      </c>
    </row>
    <row r="302" spans="1:32" x14ac:dyDescent="0.25">
      <c r="A302" s="1" t="s">
        <v>50</v>
      </c>
      <c r="B302" s="1" t="s">
        <v>2365</v>
      </c>
      <c r="C302" s="1" t="s">
        <v>2366</v>
      </c>
      <c r="D302" s="1" t="s">
        <v>2367</v>
      </c>
      <c r="E302" s="24">
        <v>45967</v>
      </c>
      <c r="F302" s="2" t="s">
        <v>103</v>
      </c>
      <c r="G302" s="1" t="s">
        <v>302</v>
      </c>
      <c r="H302" s="1" t="s">
        <v>36</v>
      </c>
      <c r="I302" s="1" t="s">
        <v>37</v>
      </c>
      <c r="J302" s="1" t="s">
        <v>38</v>
      </c>
      <c r="K302" s="1" t="s">
        <v>55</v>
      </c>
      <c r="L302" s="1" t="s">
        <v>242</v>
      </c>
      <c r="M302" s="1" t="s">
        <v>835</v>
      </c>
      <c r="N302" s="1" t="s">
        <v>42</v>
      </c>
      <c r="O302" s="1" t="s">
        <v>43</v>
      </c>
      <c r="P302" s="1" t="s">
        <v>835</v>
      </c>
      <c r="Q302" s="1" t="s">
        <v>42</v>
      </c>
      <c r="R302" s="1" t="s">
        <v>2368</v>
      </c>
      <c r="S302" s="1" t="s">
        <v>304</v>
      </c>
      <c r="T302" s="1" t="s">
        <v>60</v>
      </c>
      <c r="U302" s="1" t="s">
        <v>668</v>
      </c>
      <c r="V302" s="1" t="s">
        <v>2369</v>
      </c>
      <c r="W302" s="1" t="s">
        <v>35</v>
      </c>
      <c r="X302" s="1" t="s">
        <v>35</v>
      </c>
      <c r="Y302" s="1" t="s">
        <v>49</v>
      </c>
      <c r="Z302" s="1" t="s">
        <v>35</v>
      </c>
      <c r="AA302" s="1" t="s">
        <v>35</v>
      </c>
      <c r="AB302" s="1" t="s">
        <v>35</v>
      </c>
      <c r="AC302" s="1" t="s">
        <v>35</v>
      </c>
      <c r="AD302" s="1" t="s">
        <v>35</v>
      </c>
      <c r="AE302" s="1" t="s">
        <v>2370</v>
      </c>
      <c r="AF302" s="1" t="s">
        <v>2371</v>
      </c>
    </row>
    <row r="303" spans="1:32" x14ac:dyDescent="0.25">
      <c r="A303" s="1" t="s">
        <v>65</v>
      </c>
      <c r="B303" s="1" t="s">
        <v>2372</v>
      </c>
      <c r="C303" s="1" t="s">
        <v>2373</v>
      </c>
      <c r="D303" s="1" t="s">
        <v>2374</v>
      </c>
      <c r="E303" s="24">
        <v>45970</v>
      </c>
      <c r="F303" s="2" t="s">
        <v>102</v>
      </c>
      <c r="G303" s="1" t="s">
        <v>194</v>
      </c>
      <c r="H303" s="1" t="s">
        <v>36</v>
      </c>
      <c r="I303" s="1" t="s">
        <v>37</v>
      </c>
      <c r="J303" s="1" t="s">
        <v>38</v>
      </c>
      <c r="K303" s="1" t="s">
        <v>55</v>
      </c>
      <c r="L303" s="1" t="s">
        <v>176</v>
      </c>
      <c r="M303" s="1" t="s">
        <v>177</v>
      </c>
      <c r="N303" s="1" t="s">
        <v>42</v>
      </c>
      <c r="O303" s="1" t="s">
        <v>43</v>
      </c>
      <c r="P303" s="1" t="s">
        <v>1468</v>
      </c>
      <c r="Q303" s="1" t="s">
        <v>42</v>
      </c>
      <c r="R303" s="1" t="s">
        <v>1348</v>
      </c>
      <c r="S303" s="1" t="s">
        <v>59</v>
      </c>
      <c r="T303" s="1" t="s">
        <v>60</v>
      </c>
      <c r="U303" s="1" t="s">
        <v>61</v>
      </c>
      <c r="V303" s="1" t="s">
        <v>2375</v>
      </c>
      <c r="W303" s="1" t="s">
        <v>35</v>
      </c>
      <c r="X303" s="1" t="s">
        <v>35</v>
      </c>
      <c r="Y303" s="1" t="s">
        <v>49</v>
      </c>
      <c r="Z303" s="1" t="s">
        <v>35</v>
      </c>
      <c r="AA303" s="1" t="s">
        <v>35</v>
      </c>
      <c r="AB303" s="1" t="s">
        <v>35</v>
      </c>
      <c r="AC303" s="1" t="s">
        <v>35</v>
      </c>
      <c r="AD303" s="1" t="s">
        <v>35</v>
      </c>
      <c r="AE303" s="1" t="s">
        <v>2376</v>
      </c>
      <c r="AF303" s="1" t="s">
        <v>2377</v>
      </c>
    </row>
    <row r="304" spans="1:32" x14ac:dyDescent="0.25">
      <c r="A304" s="1" t="s">
        <v>65</v>
      </c>
      <c r="B304" s="1" t="s">
        <v>2378</v>
      </c>
      <c r="C304" s="1" t="s">
        <v>2379</v>
      </c>
      <c r="D304" s="1" t="s">
        <v>2380</v>
      </c>
      <c r="E304" s="24">
        <v>45973</v>
      </c>
      <c r="F304" s="2" t="s">
        <v>102</v>
      </c>
      <c r="G304" s="1" t="s">
        <v>54</v>
      </c>
      <c r="H304" s="1" t="s">
        <v>36</v>
      </c>
      <c r="I304" s="1" t="s">
        <v>37</v>
      </c>
      <c r="J304" s="1" t="s">
        <v>38</v>
      </c>
      <c r="K304" s="1" t="s">
        <v>55</v>
      </c>
      <c r="L304" s="1" t="s">
        <v>69</v>
      </c>
      <c r="M304" s="1" t="s">
        <v>56</v>
      </c>
      <c r="N304" s="1" t="s">
        <v>42</v>
      </c>
      <c r="O304" s="1" t="s">
        <v>2381</v>
      </c>
      <c r="P304" s="1" t="s">
        <v>243</v>
      </c>
      <c r="Q304" s="1" t="s">
        <v>42</v>
      </c>
      <c r="R304" s="1" t="s">
        <v>2382</v>
      </c>
      <c r="S304" s="1" t="s">
        <v>904</v>
      </c>
      <c r="T304" s="1" t="s">
        <v>60</v>
      </c>
      <c r="U304" s="1" t="s">
        <v>61</v>
      </c>
      <c r="V304" s="1" t="s">
        <v>2383</v>
      </c>
      <c r="W304" s="1" t="s">
        <v>35</v>
      </c>
      <c r="X304" s="1" t="s">
        <v>35</v>
      </c>
      <c r="Y304" s="1" t="s">
        <v>49</v>
      </c>
      <c r="Z304" s="1" t="s">
        <v>35</v>
      </c>
      <c r="AA304" s="1" t="s">
        <v>35</v>
      </c>
      <c r="AB304" s="1" t="s">
        <v>35</v>
      </c>
      <c r="AC304" s="1" t="s">
        <v>2384</v>
      </c>
      <c r="AD304" s="1" t="s">
        <v>2385</v>
      </c>
      <c r="AE304" s="1" t="s">
        <v>2386</v>
      </c>
      <c r="AF304" s="1" t="s">
        <v>2387</v>
      </c>
    </row>
    <row r="305" spans="1:32" x14ac:dyDescent="0.25">
      <c r="A305" s="1" t="s">
        <v>65</v>
      </c>
      <c r="B305" s="1" t="s">
        <v>2388</v>
      </c>
      <c r="C305" s="1" t="s">
        <v>2389</v>
      </c>
      <c r="D305" s="1" t="s">
        <v>2390</v>
      </c>
      <c r="E305" s="24">
        <v>45974</v>
      </c>
      <c r="F305" s="2" t="s">
        <v>103</v>
      </c>
      <c r="G305" s="1" t="s">
        <v>54</v>
      </c>
      <c r="H305" s="1" t="s">
        <v>36</v>
      </c>
      <c r="I305" s="1" t="s">
        <v>37</v>
      </c>
      <c r="J305" s="1" t="s">
        <v>38</v>
      </c>
      <c r="K305" s="1" t="s">
        <v>55</v>
      </c>
      <c r="L305" s="1" t="s">
        <v>69</v>
      </c>
      <c r="M305" s="1" t="s">
        <v>119</v>
      </c>
      <c r="N305" s="1" t="s">
        <v>42</v>
      </c>
      <c r="O305" s="1" t="s">
        <v>2381</v>
      </c>
      <c r="P305" s="1" t="s">
        <v>1199</v>
      </c>
      <c r="Q305" s="1" t="s">
        <v>42</v>
      </c>
      <c r="R305" s="1" t="s">
        <v>2382</v>
      </c>
      <c r="S305" s="1" t="s">
        <v>904</v>
      </c>
      <c r="T305" s="1" t="s">
        <v>60</v>
      </c>
      <c r="U305" s="1" t="s">
        <v>61</v>
      </c>
      <c r="V305" s="1" t="s">
        <v>2391</v>
      </c>
      <c r="W305" s="1" t="s">
        <v>35</v>
      </c>
      <c r="X305" s="1" t="s">
        <v>35</v>
      </c>
      <c r="Y305" s="1" t="s">
        <v>49</v>
      </c>
      <c r="Z305" s="1" t="s">
        <v>35</v>
      </c>
      <c r="AA305" s="1" t="s">
        <v>35</v>
      </c>
      <c r="AB305" s="1" t="s">
        <v>35</v>
      </c>
      <c r="AC305" s="1" t="s">
        <v>35</v>
      </c>
      <c r="AD305" s="1" t="s">
        <v>35</v>
      </c>
      <c r="AE305" s="1" t="s">
        <v>2392</v>
      </c>
      <c r="AF305" s="1" t="s">
        <v>2393</v>
      </c>
    </row>
    <row r="306" spans="1:32" x14ac:dyDescent="0.25">
      <c r="A306" s="1" t="s">
        <v>50</v>
      </c>
      <c r="B306" s="1" t="s">
        <v>2394</v>
      </c>
      <c r="C306" s="1" t="s">
        <v>2395</v>
      </c>
      <c r="D306" s="1" t="s">
        <v>2396</v>
      </c>
      <c r="E306" s="24">
        <v>45974</v>
      </c>
      <c r="F306" s="2" t="s">
        <v>103</v>
      </c>
      <c r="G306" s="1" t="s">
        <v>302</v>
      </c>
      <c r="H306" s="1" t="s">
        <v>36</v>
      </c>
      <c r="I306" s="1" t="s">
        <v>37</v>
      </c>
      <c r="J306" s="1" t="s">
        <v>38</v>
      </c>
      <c r="K306" s="1" t="s">
        <v>55</v>
      </c>
      <c r="L306" s="1" t="s">
        <v>69</v>
      </c>
      <c r="M306" s="1" t="s">
        <v>119</v>
      </c>
      <c r="N306" s="1" t="s">
        <v>42</v>
      </c>
      <c r="O306" s="1" t="s">
        <v>2381</v>
      </c>
      <c r="P306" s="1" t="s">
        <v>1975</v>
      </c>
      <c r="Q306" s="1" t="s">
        <v>42</v>
      </c>
      <c r="R306" s="1" t="s">
        <v>2237</v>
      </c>
      <c r="S306" s="1" t="s">
        <v>661</v>
      </c>
      <c r="T306" s="1" t="s">
        <v>60</v>
      </c>
      <c r="U306" s="1" t="s">
        <v>61</v>
      </c>
      <c r="V306" s="1" t="s">
        <v>2397</v>
      </c>
      <c r="W306" s="1" t="s">
        <v>35</v>
      </c>
      <c r="X306" s="1" t="s">
        <v>35</v>
      </c>
      <c r="Y306" s="1" t="s">
        <v>49</v>
      </c>
      <c r="Z306" s="1" t="s">
        <v>35</v>
      </c>
      <c r="AA306" s="1" t="s">
        <v>35</v>
      </c>
      <c r="AB306" s="1" t="s">
        <v>35</v>
      </c>
      <c r="AC306" s="1" t="s">
        <v>35</v>
      </c>
      <c r="AD306" s="1" t="s">
        <v>35</v>
      </c>
      <c r="AE306" s="1" t="s">
        <v>2398</v>
      </c>
      <c r="AF306" s="1" t="s">
        <v>2399</v>
      </c>
    </row>
    <row r="307" spans="1:32" x14ac:dyDescent="0.25">
      <c r="A307" s="1" t="s">
        <v>50</v>
      </c>
      <c r="B307" s="1" t="s">
        <v>2400</v>
      </c>
      <c r="C307" s="1" t="s">
        <v>2401</v>
      </c>
      <c r="D307" s="1" t="s">
        <v>2402</v>
      </c>
      <c r="E307" s="24">
        <v>45976</v>
      </c>
      <c r="F307" s="2" t="s">
        <v>102</v>
      </c>
      <c r="G307" s="1" t="s">
        <v>783</v>
      </c>
      <c r="H307" s="1" t="s">
        <v>36</v>
      </c>
      <c r="I307" s="1" t="s">
        <v>37</v>
      </c>
      <c r="J307" s="1" t="s">
        <v>432</v>
      </c>
      <c r="K307" s="1" t="s">
        <v>55</v>
      </c>
      <c r="L307" s="1" t="s">
        <v>40</v>
      </c>
      <c r="M307" s="1" t="s">
        <v>835</v>
      </c>
      <c r="N307" s="1" t="s">
        <v>42</v>
      </c>
      <c r="O307" s="1" t="s">
        <v>2381</v>
      </c>
      <c r="P307" s="1" t="s">
        <v>835</v>
      </c>
      <c r="Q307" s="1" t="s">
        <v>42</v>
      </c>
      <c r="R307" s="1" t="s">
        <v>2403</v>
      </c>
      <c r="S307" s="1" t="s">
        <v>59</v>
      </c>
      <c r="T307" s="1" t="s">
        <v>60</v>
      </c>
      <c r="U307" s="1" t="s">
        <v>757</v>
      </c>
      <c r="V307" s="1" t="s">
        <v>2404</v>
      </c>
      <c r="W307" s="1" t="s">
        <v>1154</v>
      </c>
      <c r="X307" s="1" t="s">
        <v>2405</v>
      </c>
      <c r="Y307" s="1" t="s">
        <v>104</v>
      </c>
      <c r="Z307" s="1" t="s">
        <v>35</v>
      </c>
      <c r="AA307" s="1" t="s">
        <v>35</v>
      </c>
      <c r="AB307" s="1" t="s">
        <v>35</v>
      </c>
      <c r="AC307" s="1" t="s">
        <v>35</v>
      </c>
      <c r="AD307" s="1" t="s">
        <v>35</v>
      </c>
      <c r="AE307" s="1" t="s">
        <v>2406</v>
      </c>
      <c r="AF307" s="1" t="s">
        <v>2407</v>
      </c>
    </row>
    <row r="308" spans="1:32" x14ac:dyDescent="0.25">
      <c r="A308" s="1" t="s">
        <v>50</v>
      </c>
      <c r="B308" s="1" t="s">
        <v>2408</v>
      </c>
      <c r="C308" s="1" t="s">
        <v>2409</v>
      </c>
      <c r="D308" s="1" t="s">
        <v>2410</v>
      </c>
      <c r="E308" s="24">
        <v>45977</v>
      </c>
      <c r="F308" s="2" t="s">
        <v>102</v>
      </c>
      <c r="G308" s="1" t="s">
        <v>302</v>
      </c>
      <c r="H308" s="1" t="s">
        <v>36</v>
      </c>
      <c r="I308" s="1" t="s">
        <v>37</v>
      </c>
      <c r="J308" s="1" t="s">
        <v>38</v>
      </c>
      <c r="K308" s="1" t="s">
        <v>55</v>
      </c>
      <c r="L308" s="1" t="s">
        <v>40</v>
      </c>
      <c r="M308" s="1" t="s">
        <v>119</v>
      </c>
      <c r="N308" s="1" t="s">
        <v>42</v>
      </c>
      <c r="O308" s="1" t="s">
        <v>2381</v>
      </c>
      <c r="P308" s="1" t="s">
        <v>1975</v>
      </c>
      <c r="Q308" s="1" t="s">
        <v>42</v>
      </c>
      <c r="R308" s="1" t="s">
        <v>1705</v>
      </c>
      <c r="S308" s="1" t="s">
        <v>1706</v>
      </c>
      <c r="T308" s="1" t="s">
        <v>60</v>
      </c>
      <c r="U308" s="1" t="s">
        <v>61</v>
      </c>
      <c r="V308" s="1" t="s">
        <v>2411</v>
      </c>
      <c r="W308" s="1" t="s">
        <v>125</v>
      </c>
      <c r="X308" s="1" t="s">
        <v>2412</v>
      </c>
      <c r="Y308" s="1" t="s">
        <v>49</v>
      </c>
      <c r="Z308" s="1" t="s">
        <v>35</v>
      </c>
      <c r="AA308" s="1" t="s">
        <v>35</v>
      </c>
      <c r="AB308" s="1" t="s">
        <v>35</v>
      </c>
      <c r="AC308" s="1" t="s">
        <v>127</v>
      </c>
      <c r="AD308" s="1" t="s">
        <v>2413</v>
      </c>
      <c r="AE308" s="1" t="s">
        <v>2414</v>
      </c>
      <c r="AF308" s="1" t="s">
        <v>2415</v>
      </c>
    </row>
    <row r="309" spans="1:32" x14ac:dyDescent="0.25">
      <c r="A309" s="1" t="s">
        <v>50</v>
      </c>
      <c r="B309" s="1" t="s">
        <v>2416</v>
      </c>
      <c r="C309" s="1" t="s">
        <v>2417</v>
      </c>
      <c r="D309" s="1" t="s">
        <v>2418</v>
      </c>
      <c r="E309" s="24">
        <v>45977</v>
      </c>
      <c r="F309" s="2" t="s">
        <v>102</v>
      </c>
      <c r="G309" s="1" t="s">
        <v>302</v>
      </c>
      <c r="H309" s="1" t="s">
        <v>36</v>
      </c>
      <c r="I309" s="1" t="s">
        <v>37</v>
      </c>
      <c r="J309" s="1" t="s">
        <v>38</v>
      </c>
      <c r="K309" s="1" t="s">
        <v>55</v>
      </c>
      <c r="L309" s="1" t="s">
        <v>40</v>
      </c>
      <c r="M309" s="1" t="s">
        <v>70</v>
      </c>
      <c r="N309" s="1" t="s">
        <v>42</v>
      </c>
      <c r="O309" s="1" t="s">
        <v>2381</v>
      </c>
      <c r="P309" s="1" t="s">
        <v>70</v>
      </c>
      <c r="Q309" s="1" t="s">
        <v>42</v>
      </c>
      <c r="R309" s="1" t="s">
        <v>2419</v>
      </c>
      <c r="S309" s="1" t="s">
        <v>661</v>
      </c>
      <c r="T309" s="1" t="s">
        <v>60</v>
      </c>
      <c r="U309" s="1" t="s">
        <v>757</v>
      </c>
      <c r="V309" s="1" t="s">
        <v>2420</v>
      </c>
      <c r="W309" s="1" t="s">
        <v>35</v>
      </c>
      <c r="X309" s="1" t="s">
        <v>35</v>
      </c>
      <c r="Y309" s="1" t="s">
        <v>104</v>
      </c>
      <c r="Z309" s="1" t="s">
        <v>35</v>
      </c>
      <c r="AA309" s="1" t="s">
        <v>35</v>
      </c>
      <c r="AB309" s="1" t="s">
        <v>35</v>
      </c>
      <c r="AC309" s="1" t="s">
        <v>35</v>
      </c>
      <c r="AD309" s="1" t="s">
        <v>35</v>
      </c>
      <c r="AE309" s="1" t="s">
        <v>2421</v>
      </c>
      <c r="AF309" s="1" t="s">
        <v>2422</v>
      </c>
    </row>
    <row r="310" spans="1:32" x14ac:dyDescent="0.25">
      <c r="A310" s="1" t="s">
        <v>65</v>
      </c>
      <c r="B310" s="1" t="s">
        <v>2423</v>
      </c>
      <c r="C310" s="1" t="s">
        <v>2424</v>
      </c>
      <c r="D310" s="1" t="s">
        <v>2425</v>
      </c>
      <c r="E310" s="24">
        <v>45977</v>
      </c>
      <c r="F310" s="2" t="s">
        <v>103</v>
      </c>
      <c r="G310" s="1" t="s">
        <v>35</v>
      </c>
      <c r="H310" s="1" t="s">
        <v>36</v>
      </c>
      <c r="I310" s="1" t="s">
        <v>37</v>
      </c>
      <c r="J310" s="1" t="s">
        <v>38</v>
      </c>
      <c r="K310" s="1" t="s">
        <v>55</v>
      </c>
      <c r="L310" s="1" t="s">
        <v>40</v>
      </c>
      <c r="M310" s="1" t="s">
        <v>56</v>
      </c>
      <c r="N310" s="1" t="s">
        <v>42</v>
      </c>
      <c r="O310" s="1" t="s">
        <v>2381</v>
      </c>
      <c r="P310" s="1" t="s">
        <v>56</v>
      </c>
      <c r="Q310" s="1" t="s">
        <v>42</v>
      </c>
      <c r="R310" s="1" t="s">
        <v>1813</v>
      </c>
      <c r="S310" s="1" t="s">
        <v>469</v>
      </c>
      <c r="T310" s="1" t="s">
        <v>60</v>
      </c>
      <c r="U310" s="1" t="s">
        <v>61</v>
      </c>
      <c r="V310" s="1" t="s">
        <v>2426</v>
      </c>
      <c r="W310" s="1" t="s">
        <v>35</v>
      </c>
      <c r="X310" s="1" t="s">
        <v>35</v>
      </c>
      <c r="Y310" s="1" t="s">
        <v>104</v>
      </c>
      <c r="Z310" s="1" t="s">
        <v>35</v>
      </c>
      <c r="AA310" s="1" t="s">
        <v>35</v>
      </c>
      <c r="AB310" s="1" t="s">
        <v>35</v>
      </c>
      <c r="AC310" s="1" t="s">
        <v>35</v>
      </c>
      <c r="AD310" s="1" t="s">
        <v>35</v>
      </c>
      <c r="AE310" s="1" t="s">
        <v>2427</v>
      </c>
      <c r="AF310" s="1" t="s">
        <v>2428</v>
      </c>
    </row>
    <row r="311" spans="1:32" x14ac:dyDescent="0.25">
      <c r="A311" s="1" t="s">
        <v>65</v>
      </c>
      <c r="B311" s="1" t="s">
        <v>2429</v>
      </c>
      <c r="C311" s="1" t="s">
        <v>2430</v>
      </c>
      <c r="D311" s="1" t="s">
        <v>2431</v>
      </c>
      <c r="E311" s="24">
        <v>45977</v>
      </c>
      <c r="F311" s="2" t="s">
        <v>102</v>
      </c>
      <c r="G311" s="1" t="s">
        <v>35</v>
      </c>
      <c r="H311" s="1" t="s">
        <v>36</v>
      </c>
      <c r="I311" s="1" t="s">
        <v>37</v>
      </c>
      <c r="J311" s="1" t="s">
        <v>38</v>
      </c>
      <c r="K311" s="1" t="s">
        <v>55</v>
      </c>
      <c r="L311" s="1" t="s">
        <v>176</v>
      </c>
      <c r="M311" s="1" t="s">
        <v>56</v>
      </c>
      <c r="N311" s="1" t="s">
        <v>42</v>
      </c>
      <c r="O311" s="1" t="s">
        <v>2381</v>
      </c>
      <c r="P311" s="1" t="s">
        <v>56</v>
      </c>
      <c r="Q311" s="1" t="s">
        <v>42</v>
      </c>
      <c r="R311" s="1" t="s">
        <v>1305</v>
      </c>
      <c r="S311" s="1" t="s">
        <v>451</v>
      </c>
      <c r="T311" s="1" t="s">
        <v>60</v>
      </c>
      <c r="U311" s="1" t="s">
        <v>61</v>
      </c>
      <c r="V311" s="1" t="s">
        <v>2432</v>
      </c>
      <c r="W311" s="1" t="s">
        <v>35</v>
      </c>
      <c r="X311" s="1" t="s">
        <v>35</v>
      </c>
      <c r="Y311" s="1" t="s">
        <v>104</v>
      </c>
      <c r="Z311" s="1" t="s">
        <v>35</v>
      </c>
      <c r="AA311" s="1" t="s">
        <v>35</v>
      </c>
      <c r="AB311" s="1" t="s">
        <v>35</v>
      </c>
      <c r="AC311" s="1" t="s">
        <v>35</v>
      </c>
      <c r="AD311" s="1" t="s">
        <v>35</v>
      </c>
      <c r="AE311" s="1" t="s">
        <v>2433</v>
      </c>
      <c r="AF311" s="1" t="s">
        <v>2434</v>
      </c>
    </row>
    <row r="312" spans="1:32" x14ac:dyDescent="0.25">
      <c r="A312" s="1" t="s">
        <v>50</v>
      </c>
      <c r="B312" s="1" t="s">
        <v>2435</v>
      </c>
      <c r="C312" s="1" t="s">
        <v>2436</v>
      </c>
      <c r="D312" s="1" t="s">
        <v>2437</v>
      </c>
      <c r="E312" s="24">
        <v>45978</v>
      </c>
      <c r="F312" s="2" t="s">
        <v>102</v>
      </c>
      <c r="G312" s="1" t="s">
        <v>54</v>
      </c>
      <c r="H312" s="1" t="s">
        <v>36</v>
      </c>
      <c r="I312" s="1" t="s">
        <v>37</v>
      </c>
      <c r="J312" s="1" t="s">
        <v>38</v>
      </c>
      <c r="K312" s="1" t="s">
        <v>55</v>
      </c>
      <c r="L312" s="1" t="s">
        <v>69</v>
      </c>
      <c r="M312" s="1" t="s">
        <v>119</v>
      </c>
      <c r="N312" s="1" t="s">
        <v>42</v>
      </c>
      <c r="O312" s="1" t="s">
        <v>2381</v>
      </c>
      <c r="P312" s="1" t="s">
        <v>2438</v>
      </c>
      <c r="Q312" s="1" t="s">
        <v>42</v>
      </c>
      <c r="R312" s="1" t="s">
        <v>1651</v>
      </c>
      <c r="S312" s="1" t="s">
        <v>89</v>
      </c>
      <c r="T312" s="1" t="s">
        <v>46</v>
      </c>
      <c r="U312" s="1" t="s">
        <v>81</v>
      </c>
      <c r="V312" s="1" t="s">
        <v>2439</v>
      </c>
      <c r="W312" s="1" t="s">
        <v>125</v>
      </c>
      <c r="X312" s="1" t="s">
        <v>2440</v>
      </c>
      <c r="Y312" s="1" t="s">
        <v>49</v>
      </c>
      <c r="Z312" s="1" t="s">
        <v>35</v>
      </c>
      <c r="AA312" s="1" t="s">
        <v>35</v>
      </c>
      <c r="AB312" s="1" t="s">
        <v>35</v>
      </c>
      <c r="AC312" s="1" t="s">
        <v>127</v>
      </c>
      <c r="AD312" s="1" t="s">
        <v>2413</v>
      </c>
      <c r="AE312" s="1" t="s">
        <v>2441</v>
      </c>
      <c r="AF312" s="1" t="s">
        <v>2442</v>
      </c>
    </row>
    <row r="313" spans="1:32" x14ac:dyDescent="0.25">
      <c r="A313" s="1" t="s">
        <v>65</v>
      </c>
      <c r="B313" s="1" t="s">
        <v>2443</v>
      </c>
      <c r="C313" s="1" t="s">
        <v>2444</v>
      </c>
      <c r="D313" s="1" t="s">
        <v>2445</v>
      </c>
      <c r="E313" s="24">
        <v>45980</v>
      </c>
      <c r="F313" s="2" t="s">
        <v>103</v>
      </c>
      <c r="G313" s="1" t="s">
        <v>54</v>
      </c>
      <c r="H313" s="1" t="s">
        <v>36</v>
      </c>
      <c r="I313" s="1" t="s">
        <v>37</v>
      </c>
      <c r="J313" s="1" t="s">
        <v>38</v>
      </c>
      <c r="K313" s="1" t="s">
        <v>55</v>
      </c>
      <c r="L313" s="1" t="s">
        <v>40</v>
      </c>
      <c r="M313" s="1" t="s">
        <v>56</v>
      </c>
      <c r="N313" s="1" t="s">
        <v>42</v>
      </c>
      <c r="O313" s="1" t="s">
        <v>2381</v>
      </c>
      <c r="P313" s="1" t="s">
        <v>2446</v>
      </c>
      <c r="Q313" s="1" t="s">
        <v>42</v>
      </c>
      <c r="R313" s="1" t="s">
        <v>2447</v>
      </c>
      <c r="S313" s="1" t="s">
        <v>1659</v>
      </c>
      <c r="T313" s="1" t="s">
        <v>60</v>
      </c>
      <c r="U313" s="1" t="s">
        <v>145</v>
      </c>
      <c r="V313" s="1" t="s">
        <v>2448</v>
      </c>
      <c r="W313" s="1" t="s">
        <v>125</v>
      </c>
      <c r="X313" s="1" t="s">
        <v>2449</v>
      </c>
      <c r="Y313" s="1" t="s">
        <v>104</v>
      </c>
      <c r="Z313" s="1" t="s">
        <v>35</v>
      </c>
      <c r="AA313" s="1" t="s">
        <v>35</v>
      </c>
      <c r="AB313" s="1" t="s">
        <v>35</v>
      </c>
      <c r="AC313" s="1" t="s">
        <v>35</v>
      </c>
      <c r="AD313" s="1" t="s">
        <v>35</v>
      </c>
      <c r="AE313" s="1" t="s">
        <v>2450</v>
      </c>
      <c r="AF313" s="1" t="s">
        <v>2451</v>
      </c>
    </row>
    <row r="314" spans="1:32" x14ac:dyDescent="0.25">
      <c r="A314" s="1" t="s">
        <v>50</v>
      </c>
      <c r="B314" s="1" t="s">
        <v>2452</v>
      </c>
      <c r="C314" s="1" t="s">
        <v>2453</v>
      </c>
      <c r="D314" s="1" t="s">
        <v>2454</v>
      </c>
      <c r="E314" s="24">
        <v>45980</v>
      </c>
      <c r="F314" s="2" t="s">
        <v>39</v>
      </c>
      <c r="G314" s="1" t="s">
        <v>35</v>
      </c>
      <c r="H314" s="1" t="s">
        <v>36</v>
      </c>
      <c r="I314" s="1" t="s">
        <v>37</v>
      </c>
      <c r="J314" s="1" t="s">
        <v>432</v>
      </c>
      <c r="K314" s="1" t="s">
        <v>39</v>
      </c>
      <c r="L314" s="1" t="s">
        <v>807</v>
      </c>
      <c r="M314" s="1" t="s">
        <v>2167</v>
      </c>
      <c r="N314" s="1" t="s">
        <v>42</v>
      </c>
      <c r="O314" s="1" t="s">
        <v>2381</v>
      </c>
      <c r="P314" s="1" t="s">
        <v>2455</v>
      </c>
      <c r="Q314" s="1" t="s">
        <v>42</v>
      </c>
      <c r="R314" s="1" t="s">
        <v>1651</v>
      </c>
      <c r="S314" s="1" t="s">
        <v>89</v>
      </c>
      <c r="T314" s="1" t="s">
        <v>46</v>
      </c>
      <c r="U314" s="1" t="s">
        <v>757</v>
      </c>
      <c r="V314" s="1" t="s">
        <v>2456</v>
      </c>
      <c r="W314" s="1" t="s">
        <v>35</v>
      </c>
      <c r="X314" s="1" t="s">
        <v>35</v>
      </c>
      <c r="Y314" s="1" t="s">
        <v>104</v>
      </c>
      <c r="Z314" s="1" t="s">
        <v>35</v>
      </c>
      <c r="AA314" s="1" t="s">
        <v>35</v>
      </c>
      <c r="AB314" s="1" t="s">
        <v>35</v>
      </c>
      <c r="AC314" s="1" t="s">
        <v>35</v>
      </c>
      <c r="AD314" s="1" t="s">
        <v>35</v>
      </c>
      <c r="AE314" s="1" t="s">
        <v>35</v>
      </c>
      <c r="AF314" s="1" t="s">
        <v>35</v>
      </c>
    </row>
    <row r="315" spans="1:32" x14ac:dyDescent="0.25">
      <c r="A315" s="1" t="s">
        <v>65</v>
      </c>
      <c r="B315" s="1" t="s">
        <v>2457</v>
      </c>
      <c r="C315" s="1" t="s">
        <v>2458</v>
      </c>
      <c r="D315" s="1" t="s">
        <v>2459</v>
      </c>
      <c r="E315" s="24">
        <v>45981</v>
      </c>
      <c r="F315" s="2" t="s">
        <v>102</v>
      </c>
      <c r="G315" s="1" t="s">
        <v>806</v>
      </c>
      <c r="H315" s="1" t="s">
        <v>36</v>
      </c>
      <c r="I315" s="1" t="s">
        <v>37</v>
      </c>
      <c r="J315" s="1" t="s">
        <v>38</v>
      </c>
      <c r="K315" s="1" t="s">
        <v>55</v>
      </c>
      <c r="L315" s="1" t="s">
        <v>40</v>
      </c>
      <c r="M315" s="1" t="s">
        <v>70</v>
      </c>
      <c r="N315" s="1" t="s">
        <v>42</v>
      </c>
      <c r="O315" s="1" t="s">
        <v>2381</v>
      </c>
      <c r="P315" s="1" t="s">
        <v>433</v>
      </c>
      <c r="Q315" s="1" t="s">
        <v>42</v>
      </c>
      <c r="R315" s="1" t="s">
        <v>1117</v>
      </c>
      <c r="S315" s="1" t="s">
        <v>510</v>
      </c>
      <c r="T315" s="1" t="s">
        <v>60</v>
      </c>
      <c r="U315" s="1" t="s">
        <v>61</v>
      </c>
      <c r="V315" s="1" t="s">
        <v>2460</v>
      </c>
      <c r="W315" s="1" t="s">
        <v>35</v>
      </c>
      <c r="X315" s="1" t="s">
        <v>35</v>
      </c>
      <c r="Y315" s="1" t="s">
        <v>104</v>
      </c>
      <c r="Z315" s="1" t="s">
        <v>35</v>
      </c>
      <c r="AA315" s="1" t="s">
        <v>35</v>
      </c>
      <c r="AB315" s="1" t="s">
        <v>35</v>
      </c>
      <c r="AC315" s="1" t="s">
        <v>35</v>
      </c>
      <c r="AD315" s="1" t="s">
        <v>35</v>
      </c>
      <c r="AE315" s="1" t="s">
        <v>2461</v>
      </c>
      <c r="AF315" s="1" t="s">
        <v>2462</v>
      </c>
    </row>
    <row r="316" spans="1:32" x14ac:dyDescent="0.25">
      <c r="A316" s="1" t="s">
        <v>65</v>
      </c>
      <c r="B316" s="1" t="s">
        <v>1166</v>
      </c>
      <c r="C316" s="1" t="s">
        <v>1167</v>
      </c>
      <c r="D316" s="1" t="s">
        <v>2463</v>
      </c>
      <c r="E316" s="24">
        <v>45984</v>
      </c>
      <c r="F316" s="2" t="s">
        <v>103</v>
      </c>
      <c r="G316" s="1" t="s">
        <v>54</v>
      </c>
      <c r="H316" s="1" t="s">
        <v>36</v>
      </c>
      <c r="I316" s="1" t="s">
        <v>37</v>
      </c>
      <c r="J316" s="1" t="s">
        <v>38</v>
      </c>
      <c r="K316" s="1" t="s">
        <v>55</v>
      </c>
      <c r="L316" s="1" t="s">
        <v>40</v>
      </c>
      <c r="M316" s="1" t="s">
        <v>56</v>
      </c>
      <c r="N316" s="1" t="s">
        <v>42</v>
      </c>
      <c r="O316" s="1" t="s">
        <v>2381</v>
      </c>
      <c r="P316" s="1" t="s">
        <v>2464</v>
      </c>
      <c r="Q316" s="1" t="s">
        <v>42</v>
      </c>
      <c r="R316" s="1" t="s">
        <v>1169</v>
      </c>
      <c r="S316" s="1" t="s">
        <v>80</v>
      </c>
      <c r="T316" s="1" t="s">
        <v>60</v>
      </c>
      <c r="U316" s="1" t="s">
        <v>215</v>
      </c>
      <c r="V316" s="1" t="s">
        <v>1170</v>
      </c>
      <c r="W316" s="1" t="s">
        <v>35</v>
      </c>
      <c r="X316" s="1" t="s">
        <v>35</v>
      </c>
      <c r="Y316" s="1" t="s">
        <v>104</v>
      </c>
      <c r="Z316" s="1" t="s">
        <v>35</v>
      </c>
      <c r="AA316" s="1" t="s">
        <v>35</v>
      </c>
      <c r="AB316" s="1" t="s">
        <v>35</v>
      </c>
      <c r="AC316" s="1" t="s">
        <v>35</v>
      </c>
      <c r="AD316" s="1" t="s">
        <v>35</v>
      </c>
      <c r="AE316" s="1" t="s">
        <v>2465</v>
      </c>
      <c r="AF316" s="1" t="s">
        <v>2466</v>
      </c>
    </row>
    <row r="317" spans="1:32" x14ac:dyDescent="0.25">
      <c r="A317" s="1" t="s">
        <v>50</v>
      </c>
      <c r="B317" s="1" t="s">
        <v>2467</v>
      </c>
      <c r="C317" s="1" t="s">
        <v>2468</v>
      </c>
      <c r="D317" s="1" t="s">
        <v>2469</v>
      </c>
      <c r="E317" s="24">
        <v>45985</v>
      </c>
      <c r="F317" s="2" t="s">
        <v>102</v>
      </c>
      <c r="G317" s="1" t="s">
        <v>54</v>
      </c>
      <c r="H317" s="1" t="s">
        <v>36</v>
      </c>
      <c r="I317" s="1" t="s">
        <v>37</v>
      </c>
      <c r="J317" s="1" t="s">
        <v>38</v>
      </c>
      <c r="K317" s="1" t="s">
        <v>55</v>
      </c>
      <c r="L317" s="1" t="s">
        <v>69</v>
      </c>
      <c r="M317" s="1" t="s">
        <v>56</v>
      </c>
      <c r="N317" s="1" t="s">
        <v>42</v>
      </c>
      <c r="O317" s="1" t="s">
        <v>2381</v>
      </c>
      <c r="P317" s="1" t="s">
        <v>56</v>
      </c>
      <c r="Q317" s="1" t="s">
        <v>42</v>
      </c>
      <c r="R317" s="1" t="s">
        <v>2470</v>
      </c>
      <c r="S317" s="1" t="s">
        <v>89</v>
      </c>
      <c r="T317" s="1" t="s">
        <v>60</v>
      </c>
      <c r="U317" s="1" t="s">
        <v>81</v>
      </c>
      <c r="V317" s="1" t="s">
        <v>2471</v>
      </c>
      <c r="W317" s="1" t="s">
        <v>35</v>
      </c>
      <c r="X317" s="1" t="s">
        <v>35</v>
      </c>
      <c r="Y317" s="1" t="s">
        <v>104</v>
      </c>
      <c r="Z317" s="1" t="s">
        <v>35</v>
      </c>
      <c r="AA317" s="1" t="s">
        <v>35</v>
      </c>
      <c r="AB317" s="1" t="s">
        <v>35</v>
      </c>
      <c r="AC317" s="1" t="s">
        <v>587</v>
      </c>
      <c r="AD317" s="1" t="s">
        <v>2472</v>
      </c>
      <c r="AE317" s="1" t="s">
        <v>2473</v>
      </c>
      <c r="AF317" s="1" t="s">
        <v>2474</v>
      </c>
    </row>
    <row r="318" spans="1:32" x14ac:dyDescent="0.25">
      <c r="A318" s="1" t="s">
        <v>50</v>
      </c>
      <c r="B318" s="1" t="s">
        <v>2475</v>
      </c>
      <c r="C318" s="1" t="s">
        <v>2476</v>
      </c>
      <c r="D318" s="1" t="s">
        <v>2477</v>
      </c>
      <c r="E318" s="24">
        <v>45985</v>
      </c>
      <c r="F318" s="2" t="s">
        <v>103</v>
      </c>
      <c r="G318" s="1" t="s">
        <v>194</v>
      </c>
      <c r="H318" s="1" t="s">
        <v>36</v>
      </c>
      <c r="I318" s="1" t="s">
        <v>37</v>
      </c>
      <c r="J318" s="1" t="s">
        <v>38</v>
      </c>
      <c r="K318" s="1" t="s">
        <v>55</v>
      </c>
      <c r="L318" s="1" t="s">
        <v>40</v>
      </c>
      <c r="M318" s="1" t="s">
        <v>264</v>
      </c>
      <c r="N318" s="1" t="s">
        <v>42</v>
      </c>
      <c r="O318" s="1" t="s">
        <v>2381</v>
      </c>
      <c r="P318" s="1" t="s">
        <v>317</v>
      </c>
      <c r="Q318" s="1" t="s">
        <v>42</v>
      </c>
      <c r="R318" s="1" t="s">
        <v>2478</v>
      </c>
      <c r="S318" s="1" t="s">
        <v>555</v>
      </c>
      <c r="T318" s="1" t="s">
        <v>60</v>
      </c>
      <c r="U318" s="1" t="s">
        <v>81</v>
      </c>
      <c r="V318" s="1" t="s">
        <v>2479</v>
      </c>
      <c r="W318" s="1" t="s">
        <v>35</v>
      </c>
      <c r="X318" s="1" t="s">
        <v>35</v>
      </c>
      <c r="Y318" s="1" t="s">
        <v>104</v>
      </c>
      <c r="Z318" s="1" t="s">
        <v>35</v>
      </c>
      <c r="AA318" s="1" t="s">
        <v>35</v>
      </c>
      <c r="AB318" s="1" t="s">
        <v>35</v>
      </c>
      <c r="AC318" s="1" t="s">
        <v>35</v>
      </c>
      <c r="AD318" s="1" t="s">
        <v>35</v>
      </c>
      <c r="AE318" s="1" t="s">
        <v>2480</v>
      </c>
      <c r="AF318" s="1" t="s">
        <v>2481</v>
      </c>
    </row>
    <row r="319" spans="1:32" x14ac:dyDescent="0.25">
      <c r="A319" s="1" t="s">
        <v>50</v>
      </c>
      <c r="B319" s="1" t="s">
        <v>2482</v>
      </c>
      <c r="C319" s="1" t="s">
        <v>2483</v>
      </c>
      <c r="D319" s="1" t="s">
        <v>2484</v>
      </c>
      <c r="E319" s="24">
        <v>45985</v>
      </c>
      <c r="F319" s="2" t="s">
        <v>103</v>
      </c>
      <c r="G319" s="1" t="s">
        <v>302</v>
      </c>
      <c r="H319" s="1" t="s">
        <v>36</v>
      </c>
      <c r="I319" s="1" t="s">
        <v>37</v>
      </c>
      <c r="J319" s="1" t="s">
        <v>38</v>
      </c>
      <c r="K319" s="1" t="s">
        <v>55</v>
      </c>
      <c r="L319" s="1" t="s">
        <v>40</v>
      </c>
      <c r="M319" s="1" t="s">
        <v>177</v>
      </c>
      <c r="N319" s="1" t="s">
        <v>42</v>
      </c>
      <c r="O319" s="1" t="s">
        <v>2381</v>
      </c>
      <c r="P319" s="1" t="s">
        <v>1324</v>
      </c>
      <c r="Q319" s="1" t="s">
        <v>42</v>
      </c>
      <c r="R319" s="1" t="s">
        <v>2485</v>
      </c>
      <c r="S319" s="1" t="s">
        <v>225</v>
      </c>
      <c r="T319" s="1" t="s">
        <v>60</v>
      </c>
      <c r="U319" s="1" t="s">
        <v>757</v>
      </c>
      <c r="V319" s="1" t="s">
        <v>2486</v>
      </c>
      <c r="W319" s="1" t="s">
        <v>125</v>
      </c>
      <c r="X319" s="1" t="s">
        <v>2487</v>
      </c>
      <c r="Y319" s="1" t="s">
        <v>104</v>
      </c>
      <c r="Z319" s="1" t="s">
        <v>35</v>
      </c>
      <c r="AA319" s="1" t="s">
        <v>35</v>
      </c>
      <c r="AB319" s="1" t="s">
        <v>35</v>
      </c>
      <c r="AC319" s="1" t="s">
        <v>127</v>
      </c>
      <c r="AD319" s="1" t="s">
        <v>2488</v>
      </c>
      <c r="AE319" s="1" t="s">
        <v>2489</v>
      </c>
      <c r="AF319" s="1" t="s">
        <v>2490</v>
      </c>
    </row>
    <row r="320" spans="1:32" x14ac:dyDescent="0.25">
      <c r="A320" s="1" t="s">
        <v>50</v>
      </c>
      <c r="B320" s="1" t="s">
        <v>2491</v>
      </c>
      <c r="C320" s="1" t="s">
        <v>2492</v>
      </c>
      <c r="D320" s="1" t="s">
        <v>2493</v>
      </c>
      <c r="E320" s="24">
        <v>45986</v>
      </c>
      <c r="F320" s="2" t="s">
        <v>103</v>
      </c>
      <c r="G320" s="1" t="s">
        <v>54</v>
      </c>
      <c r="H320" s="1" t="s">
        <v>36</v>
      </c>
      <c r="I320" s="1" t="s">
        <v>37</v>
      </c>
      <c r="J320" s="1" t="s">
        <v>38</v>
      </c>
      <c r="K320" s="1" t="s">
        <v>55</v>
      </c>
      <c r="L320" s="1" t="s">
        <v>242</v>
      </c>
      <c r="M320" s="1" t="s">
        <v>119</v>
      </c>
      <c r="N320" s="1" t="s">
        <v>42</v>
      </c>
      <c r="O320" s="1" t="s">
        <v>2381</v>
      </c>
      <c r="P320" s="1" t="s">
        <v>243</v>
      </c>
      <c r="Q320" s="1" t="s">
        <v>42</v>
      </c>
      <c r="R320" s="1" t="s">
        <v>2494</v>
      </c>
      <c r="S320" s="1" t="s">
        <v>89</v>
      </c>
      <c r="T320" s="1" t="s">
        <v>60</v>
      </c>
      <c r="U320" s="1" t="s">
        <v>81</v>
      </c>
      <c r="V320" s="1" t="s">
        <v>2495</v>
      </c>
      <c r="W320" s="1" t="s">
        <v>35</v>
      </c>
      <c r="X320" s="1" t="s">
        <v>35</v>
      </c>
      <c r="Y320" s="1" t="s">
        <v>49</v>
      </c>
      <c r="Z320" s="1" t="s">
        <v>35</v>
      </c>
      <c r="AA320" s="1" t="s">
        <v>35</v>
      </c>
      <c r="AB320" s="1" t="s">
        <v>35</v>
      </c>
      <c r="AC320" s="1" t="s">
        <v>35</v>
      </c>
      <c r="AD320" s="1" t="s">
        <v>35</v>
      </c>
      <c r="AE320" s="1" t="s">
        <v>2496</v>
      </c>
      <c r="AF320" s="1" t="s">
        <v>2497</v>
      </c>
    </row>
    <row r="321" spans="1:32" x14ac:dyDescent="0.25">
      <c r="A321" s="1" t="s">
        <v>50</v>
      </c>
      <c r="B321" s="1" t="s">
        <v>2498</v>
      </c>
      <c r="C321" s="1" t="s">
        <v>2499</v>
      </c>
      <c r="D321" s="1" t="s">
        <v>2500</v>
      </c>
      <c r="E321" s="24">
        <v>45987</v>
      </c>
      <c r="F321" s="2" t="s">
        <v>39</v>
      </c>
      <c r="G321" s="1" t="s">
        <v>194</v>
      </c>
      <c r="H321" s="1" t="s">
        <v>36</v>
      </c>
      <c r="I321" s="1" t="s">
        <v>37</v>
      </c>
      <c r="J321" s="1" t="s">
        <v>38</v>
      </c>
      <c r="K321" s="1" t="s">
        <v>39</v>
      </c>
      <c r="L321" s="1" t="s">
        <v>40</v>
      </c>
      <c r="M321" s="1" t="s">
        <v>1801</v>
      </c>
      <c r="N321" s="1" t="s">
        <v>42</v>
      </c>
      <c r="O321" s="1" t="s">
        <v>2381</v>
      </c>
      <c r="P321" s="1" t="s">
        <v>120</v>
      </c>
      <c r="Q321" s="1" t="s">
        <v>42</v>
      </c>
      <c r="R321" s="1" t="s">
        <v>2501</v>
      </c>
      <c r="S321" s="1" t="s">
        <v>197</v>
      </c>
      <c r="T321" s="1" t="s">
        <v>46</v>
      </c>
      <c r="U321" s="1" t="s">
        <v>81</v>
      </c>
      <c r="V321" s="1" t="s">
        <v>2502</v>
      </c>
      <c r="W321" s="1" t="s">
        <v>35</v>
      </c>
      <c r="X321" s="1" t="s">
        <v>35</v>
      </c>
      <c r="Y321" s="1" t="s">
        <v>104</v>
      </c>
      <c r="Z321" s="1" t="s">
        <v>35</v>
      </c>
      <c r="AA321" s="1" t="s">
        <v>35</v>
      </c>
      <c r="AB321" s="1" t="s">
        <v>35</v>
      </c>
      <c r="AC321" s="1" t="s">
        <v>35</v>
      </c>
      <c r="AD321" s="1" t="s">
        <v>35</v>
      </c>
      <c r="AE321" s="1" t="s">
        <v>2503</v>
      </c>
      <c r="AF321" s="1" t="s">
        <v>2504</v>
      </c>
    </row>
    <row r="322" spans="1:32" x14ac:dyDescent="0.25">
      <c r="A322" s="1" t="s">
        <v>50</v>
      </c>
      <c r="B322" s="1" t="s">
        <v>2505</v>
      </c>
      <c r="C322" s="1" t="s">
        <v>2506</v>
      </c>
      <c r="D322" s="1" t="s">
        <v>2507</v>
      </c>
      <c r="E322" s="24">
        <v>45990</v>
      </c>
      <c r="F322" s="2" t="s">
        <v>102</v>
      </c>
      <c r="G322" s="1" t="s">
        <v>194</v>
      </c>
      <c r="H322" s="1" t="s">
        <v>36</v>
      </c>
      <c r="I322" s="1" t="s">
        <v>37</v>
      </c>
      <c r="J322" s="1" t="s">
        <v>38</v>
      </c>
      <c r="K322" s="1" t="s">
        <v>55</v>
      </c>
      <c r="L322" s="1" t="s">
        <v>69</v>
      </c>
      <c r="M322" s="1" t="s">
        <v>264</v>
      </c>
      <c r="N322" s="1" t="s">
        <v>42</v>
      </c>
      <c r="O322" s="1" t="s">
        <v>2381</v>
      </c>
      <c r="P322" s="1" t="s">
        <v>2508</v>
      </c>
      <c r="Q322" s="1" t="s">
        <v>42</v>
      </c>
      <c r="R322" s="1" t="s">
        <v>2509</v>
      </c>
      <c r="S322" s="1" t="s">
        <v>111</v>
      </c>
      <c r="T322" s="1" t="s">
        <v>60</v>
      </c>
      <c r="U322" s="1" t="s">
        <v>81</v>
      </c>
      <c r="V322" s="1" t="s">
        <v>2510</v>
      </c>
      <c r="W322" s="1" t="s">
        <v>35</v>
      </c>
      <c r="X322" s="1" t="s">
        <v>35</v>
      </c>
      <c r="Y322" s="1" t="s">
        <v>49</v>
      </c>
      <c r="Z322" s="1" t="s">
        <v>35</v>
      </c>
      <c r="AA322" s="1" t="s">
        <v>35</v>
      </c>
      <c r="AB322" s="1" t="s">
        <v>35</v>
      </c>
      <c r="AC322" s="1" t="s">
        <v>35</v>
      </c>
      <c r="AD322" s="1" t="s">
        <v>35</v>
      </c>
      <c r="AE322" s="1" t="s">
        <v>2511</v>
      </c>
      <c r="AF322" s="1" t="s">
        <v>2512</v>
      </c>
    </row>
    <row r="323" spans="1:32" x14ac:dyDescent="0.25">
      <c r="A323" s="1" t="s">
        <v>65</v>
      </c>
      <c r="B323" s="1" t="s">
        <v>2513</v>
      </c>
      <c r="C323" s="1" t="s">
        <v>2514</v>
      </c>
      <c r="D323" s="1" t="s">
        <v>2515</v>
      </c>
      <c r="E323" s="24">
        <v>45991</v>
      </c>
      <c r="F323" s="2" t="s">
        <v>103</v>
      </c>
      <c r="G323" s="1" t="s">
        <v>194</v>
      </c>
      <c r="H323" s="1" t="s">
        <v>36</v>
      </c>
      <c r="I323" s="1" t="s">
        <v>37</v>
      </c>
      <c r="J323" s="1" t="s">
        <v>38</v>
      </c>
      <c r="K323" s="1" t="s">
        <v>55</v>
      </c>
      <c r="L323" s="1" t="s">
        <v>176</v>
      </c>
      <c r="M323" s="1" t="s">
        <v>177</v>
      </c>
      <c r="N323" s="1" t="s">
        <v>42</v>
      </c>
      <c r="O323" s="1" t="s">
        <v>2381</v>
      </c>
      <c r="P323" s="1" t="s">
        <v>1468</v>
      </c>
      <c r="Q323" s="1" t="s">
        <v>42</v>
      </c>
      <c r="R323" s="1" t="s">
        <v>2516</v>
      </c>
      <c r="S323" s="1" t="s">
        <v>80</v>
      </c>
      <c r="T323" s="1" t="s">
        <v>60</v>
      </c>
      <c r="U323" s="1" t="s">
        <v>81</v>
      </c>
      <c r="V323" s="1" t="s">
        <v>2517</v>
      </c>
      <c r="W323" s="1" t="s">
        <v>35</v>
      </c>
      <c r="X323" s="1" t="s">
        <v>35</v>
      </c>
      <c r="Y323" s="1" t="s">
        <v>49</v>
      </c>
      <c r="Z323" s="1" t="s">
        <v>35</v>
      </c>
      <c r="AA323" s="1" t="s">
        <v>35</v>
      </c>
      <c r="AB323" s="1" t="s">
        <v>35</v>
      </c>
      <c r="AC323" s="1" t="s">
        <v>35</v>
      </c>
      <c r="AD323" s="1" t="s">
        <v>35</v>
      </c>
      <c r="AE323" s="1" t="s">
        <v>2518</v>
      </c>
      <c r="AF323" s="1" t="s">
        <v>2519</v>
      </c>
    </row>
    <row r="324" spans="1:32" x14ac:dyDescent="0.25">
      <c r="A324" s="1" t="s">
        <v>105</v>
      </c>
      <c r="B324" s="1" t="s">
        <v>2520</v>
      </c>
      <c r="C324" s="1" t="s">
        <v>2521</v>
      </c>
      <c r="D324" s="1" t="s">
        <v>2522</v>
      </c>
      <c r="E324" s="24">
        <v>45991</v>
      </c>
      <c r="F324" s="2" t="s">
        <v>103</v>
      </c>
      <c r="G324" s="1" t="s">
        <v>194</v>
      </c>
      <c r="H324" s="1" t="s">
        <v>36</v>
      </c>
      <c r="I324" s="1" t="s">
        <v>37</v>
      </c>
      <c r="J324" s="1" t="s">
        <v>38</v>
      </c>
      <c r="K324" s="1" t="s">
        <v>55</v>
      </c>
      <c r="L324" s="1" t="s">
        <v>176</v>
      </c>
      <c r="M324" s="1" t="s">
        <v>177</v>
      </c>
      <c r="N324" s="1" t="s">
        <v>42</v>
      </c>
      <c r="O324" s="1" t="s">
        <v>2381</v>
      </c>
      <c r="P324" s="1" t="s">
        <v>2523</v>
      </c>
      <c r="Q324" s="1" t="s">
        <v>42</v>
      </c>
      <c r="R324" s="1" t="s">
        <v>2524</v>
      </c>
      <c r="S324" s="1" t="s">
        <v>978</v>
      </c>
      <c r="T324" s="1" t="s">
        <v>46</v>
      </c>
      <c r="U324" s="1" t="s">
        <v>112</v>
      </c>
      <c r="V324" s="1" t="s">
        <v>2525</v>
      </c>
      <c r="W324" s="1" t="s">
        <v>35</v>
      </c>
      <c r="X324" s="1" t="s">
        <v>35</v>
      </c>
      <c r="Y324" s="1" t="s">
        <v>49</v>
      </c>
      <c r="Z324" s="1" t="s">
        <v>35</v>
      </c>
      <c r="AA324" s="1" t="s">
        <v>35</v>
      </c>
      <c r="AB324" s="1" t="s">
        <v>35</v>
      </c>
      <c r="AC324" s="1" t="s">
        <v>35</v>
      </c>
      <c r="AD324" s="1" t="s">
        <v>35</v>
      </c>
      <c r="AE324" s="1" t="s">
        <v>2526</v>
      </c>
      <c r="AF324" s="1" t="s">
        <v>2527</v>
      </c>
    </row>
    <row r="325" spans="1:32" x14ac:dyDescent="0.25">
      <c r="A325" s="1" t="s">
        <v>50</v>
      </c>
      <c r="B325" s="1" t="s">
        <v>2528</v>
      </c>
      <c r="C325" s="1" t="s">
        <v>2529</v>
      </c>
      <c r="D325" s="1" t="s">
        <v>2530</v>
      </c>
      <c r="E325" s="24">
        <v>45991</v>
      </c>
      <c r="F325" s="2" t="s">
        <v>103</v>
      </c>
      <c r="G325" s="1" t="s">
        <v>194</v>
      </c>
      <c r="H325" s="1" t="s">
        <v>36</v>
      </c>
      <c r="I325" s="1" t="s">
        <v>37</v>
      </c>
      <c r="J325" s="1" t="s">
        <v>38</v>
      </c>
      <c r="K325" s="1" t="s">
        <v>55</v>
      </c>
      <c r="L325" s="1" t="s">
        <v>69</v>
      </c>
      <c r="M325" s="1" t="s">
        <v>56</v>
      </c>
      <c r="N325" s="1" t="s">
        <v>42</v>
      </c>
      <c r="O325" s="1" t="s">
        <v>2381</v>
      </c>
      <c r="P325" s="1" t="s">
        <v>56</v>
      </c>
      <c r="Q325" s="1" t="s">
        <v>42</v>
      </c>
      <c r="R325" s="1" t="s">
        <v>2531</v>
      </c>
      <c r="S325" s="1" t="s">
        <v>80</v>
      </c>
      <c r="T325" s="1" t="s">
        <v>46</v>
      </c>
      <c r="U325" s="1" t="s">
        <v>81</v>
      </c>
      <c r="V325" s="1" t="s">
        <v>2532</v>
      </c>
      <c r="W325" s="1" t="s">
        <v>35</v>
      </c>
      <c r="X325" s="1" t="s">
        <v>35</v>
      </c>
      <c r="Y325" s="1" t="s">
        <v>49</v>
      </c>
      <c r="Z325" s="1" t="s">
        <v>35</v>
      </c>
      <c r="AA325" s="1" t="s">
        <v>35</v>
      </c>
      <c r="AB325" s="1" t="s">
        <v>35</v>
      </c>
      <c r="AC325" s="1" t="s">
        <v>35</v>
      </c>
      <c r="AD325" s="1" t="s">
        <v>35</v>
      </c>
      <c r="AE325" s="1" t="s">
        <v>2533</v>
      </c>
      <c r="AF325" s="1" t="s">
        <v>2534</v>
      </c>
    </row>
    <row r="326" spans="1:32" x14ac:dyDescent="0.25">
      <c r="A326" s="1" t="s">
        <v>50</v>
      </c>
      <c r="B326" s="1" t="s">
        <v>2535</v>
      </c>
      <c r="C326" s="1" t="s">
        <v>2536</v>
      </c>
      <c r="D326" s="1" t="s">
        <v>2537</v>
      </c>
      <c r="E326" s="24">
        <v>45992</v>
      </c>
      <c r="F326" s="2" t="s">
        <v>39</v>
      </c>
      <c r="G326" s="1" t="s">
        <v>194</v>
      </c>
      <c r="H326" s="1" t="s">
        <v>36</v>
      </c>
      <c r="I326" s="1" t="s">
        <v>37</v>
      </c>
      <c r="J326" s="1" t="s">
        <v>38</v>
      </c>
      <c r="K326" s="1" t="s">
        <v>39</v>
      </c>
      <c r="L326" s="1" t="s">
        <v>176</v>
      </c>
      <c r="M326" s="1" t="s">
        <v>177</v>
      </c>
      <c r="N326" s="1" t="s">
        <v>42</v>
      </c>
      <c r="O326" s="1" t="s">
        <v>2381</v>
      </c>
      <c r="P326" s="1" t="s">
        <v>1035</v>
      </c>
      <c r="Q326" s="1" t="s">
        <v>42</v>
      </c>
      <c r="R326" s="1" t="s">
        <v>2538</v>
      </c>
      <c r="S326" s="1" t="s">
        <v>259</v>
      </c>
      <c r="T326" s="1" t="s">
        <v>46</v>
      </c>
      <c r="U326" s="1" t="s">
        <v>81</v>
      </c>
      <c r="V326" s="1" t="s">
        <v>2539</v>
      </c>
      <c r="W326" s="1" t="s">
        <v>35</v>
      </c>
      <c r="X326" s="1" t="s">
        <v>35</v>
      </c>
      <c r="Y326" s="1" t="s">
        <v>49</v>
      </c>
      <c r="Z326" s="1" t="s">
        <v>35</v>
      </c>
      <c r="AA326" s="1" t="s">
        <v>35</v>
      </c>
      <c r="AB326" s="1" t="s">
        <v>35</v>
      </c>
      <c r="AC326" s="1" t="s">
        <v>2540</v>
      </c>
      <c r="AD326" s="1" t="s">
        <v>2541</v>
      </c>
      <c r="AE326" s="1" t="s">
        <v>2542</v>
      </c>
      <c r="AF326" s="1" t="s">
        <v>2543</v>
      </c>
    </row>
    <row r="327" spans="1:32" x14ac:dyDescent="0.25">
      <c r="A327" s="1" t="s">
        <v>65</v>
      </c>
      <c r="B327" s="1" t="s">
        <v>2544</v>
      </c>
      <c r="C327" s="1" t="s">
        <v>2545</v>
      </c>
      <c r="D327" s="1" t="s">
        <v>2546</v>
      </c>
      <c r="E327" s="24">
        <v>45992</v>
      </c>
      <c r="F327" s="2" t="s">
        <v>39</v>
      </c>
      <c r="G327" s="1" t="s">
        <v>194</v>
      </c>
      <c r="H327" s="1" t="s">
        <v>36</v>
      </c>
      <c r="I327" s="1" t="s">
        <v>37</v>
      </c>
      <c r="J327" s="1" t="s">
        <v>38</v>
      </c>
      <c r="K327" s="1" t="s">
        <v>39</v>
      </c>
      <c r="L327" s="1" t="s">
        <v>176</v>
      </c>
      <c r="M327" s="1" t="s">
        <v>177</v>
      </c>
      <c r="N327" s="1" t="s">
        <v>42</v>
      </c>
      <c r="O327" s="1" t="s">
        <v>2381</v>
      </c>
      <c r="P327" s="1" t="s">
        <v>2547</v>
      </c>
      <c r="Q327" s="1" t="s">
        <v>42</v>
      </c>
      <c r="R327" s="1" t="s">
        <v>919</v>
      </c>
      <c r="S327" s="1" t="s">
        <v>667</v>
      </c>
      <c r="T327" s="1" t="s">
        <v>60</v>
      </c>
      <c r="U327" s="1" t="s">
        <v>61</v>
      </c>
      <c r="V327" s="1" t="s">
        <v>2548</v>
      </c>
      <c r="W327" s="1" t="s">
        <v>35</v>
      </c>
      <c r="X327" s="1" t="s">
        <v>35</v>
      </c>
      <c r="Y327" s="1" t="s">
        <v>49</v>
      </c>
      <c r="Z327" s="1" t="s">
        <v>35</v>
      </c>
      <c r="AA327" s="1" t="s">
        <v>35</v>
      </c>
      <c r="AB327" s="1" t="s">
        <v>35</v>
      </c>
      <c r="AC327" s="1" t="s">
        <v>2549</v>
      </c>
      <c r="AD327" s="1" t="s">
        <v>2550</v>
      </c>
      <c r="AE327" s="1" t="s">
        <v>2551</v>
      </c>
      <c r="AF327" s="1" t="s">
        <v>2552</v>
      </c>
    </row>
    <row r="328" spans="1:32" x14ac:dyDescent="0.25">
      <c r="A328" s="1" t="s">
        <v>50</v>
      </c>
      <c r="B328" s="1" t="s">
        <v>2553</v>
      </c>
      <c r="C328" s="1" t="s">
        <v>2554</v>
      </c>
      <c r="D328" s="1" t="s">
        <v>2555</v>
      </c>
      <c r="E328" s="24">
        <v>45992</v>
      </c>
      <c r="F328" s="2" t="s">
        <v>103</v>
      </c>
      <c r="G328" s="1" t="s">
        <v>54</v>
      </c>
      <c r="H328" s="1" t="s">
        <v>36</v>
      </c>
      <c r="I328" s="1" t="s">
        <v>37</v>
      </c>
      <c r="J328" s="1" t="s">
        <v>38</v>
      </c>
      <c r="K328" s="1" t="s">
        <v>55</v>
      </c>
      <c r="L328" s="1" t="s">
        <v>176</v>
      </c>
      <c r="M328" s="1" t="s">
        <v>222</v>
      </c>
      <c r="N328" s="1" t="s">
        <v>42</v>
      </c>
      <c r="O328" s="1" t="s">
        <v>2381</v>
      </c>
      <c r="P328" s="1" t="s">
        <v>2523</v>
      </c>
      <c r="Q328" s="1" t="s">
        <v>42</v>
      </c>
      <c r="R328" s="1" t="s">
        <v>2556</v>
      </c>
      <c r="S328" s="1" t="s">
        <v>45</v>
      </c>
      <c r="T328" s="1" t="s">
        <v>46</v>
      </c>
      <c r="U328" s="1" t="s">
        <v>81</v>
      </c>
      <c r="V328" s="1" t="s">
        <v>2557</v>
      </c>
      <c r="W328" s="1" t="s">
        <v>35</v>
      </c>
      <c r="X328" s="1" t="s">
        <v>35</v>
      </c>
      <c r="Y328" s="1" t="s">
        <v>49</v>
      </c>
      <c r="Z328" s="1" t="s">
        <v>35</v>
      </c>
      <c r="AA328" s="1" t="s">
        <v>35</v>
      </c>
      <c r="AB328" s="1" t="s">
        <v>35</v>
      </c>
      <c r="AC328" s="1" t="s">
        <v>35</v>
      </c>
      <c r="AD328" s="1" t="s">
        <v>35</v>
      </c>
      <c r="AE328" s="1" t="s">
        <v>2558</v>
      </c>
      <c r="AF328" s="1" t="s">
        <v>2559</v>
      </c>
    </row>
    <row r="329" spans="1:32" x14ac:dyDescent="0.25">
      <c r="A329" s="1" t="s">
        <v>65</v>
      </c>
      <c r="B329" s="1" t="s">
        <v>2560</v>
      </c>
      <c r="C329" s="1" t="s">
        <v>2561</v>
      </c>
      <c r="D329" s="1" t="s">
        <v>2562</v>
      </c>
      <c r="E329" s="24">
        <v>45992</v>
      </c>
      <c r="F329" s="2" t="s">
        <v>103</v>
      </c>
      <c r="G329" s="1" t="s">
        <v>35</v>
      </c>
      <c r="H329" s="1" t="s">
        <v>36</v>
      </c>
      <c r="I329" s="1" t="s">
        <v>37</v>
      </c>
      <c r="J329" s="1" t="s">
        <v>38</v>
      </c>
      <c r="K329" s="1" t="s">
        <v>55</v>
      </c>
      <c r="L329" s="1" t="s">
        <v>69</v>
      </c>
      <c r="M329" s="1" t="s">
        <v>658</v>
      </c>
      <c r="N329" s="1" t="s">
        <v>42</v>
      </c>
      <c r="O329" s="1" t="s">
        <v>2381</v>
      </c>
      <c r="P329" s="1" t="s">
        <v>658</v>
      </c>
      <c r="Q329" s="1" t="s">
        <v>42</v>
      </c>
      <c r="R329" s="1" t="s">
        <v>2563</v>
      </c>
      <c r="S329" s="1" t="s">
        <v>259</v>
      </c>
      <c r="T329" s="1" t="s">
        <v>60</v>
      </c>
      <c r="U329" s="1" t="s">
        <v>145</v>
      </c>
      <c r="V329" s="1" t="s">
        <v>2564</v>
      </c>
      <c r="W329" s="1" t="s">
        <v>35</v>
      </c>
      <c r="X329" s="1" t="s">
        <v>35</v>
      </c>
      <c r="Y329" s="1" t="s">
        <v>49</v>
      </c>
      <c r="Z329" s="1" t="s">
        <v>35</v>
      </c>
      <c r="AA329" s="1" t="s">
        <v>35</v>
      </c>
      <c r="AB329" s="1" t="s">
        <v>35</v>
      </c>
      <c r="AC329" s="1" t="s">
        <v>35</v>
      </c>
      <c r="AD329" s="1" t="s">
        <v>35</v>
      </c>
      <c r="AE329" s="1" t="s">
        <v>2565</v>
      </c>
      <c r="AF329" s="1" t="s">
        <v>2566</v>
      </c>
    </row>
    <row r="330" spans="1:32" x14ac:dyDescent="0.25">
      <c r="A330" s="1" t="s">
        <v>65</v>
      </c>
      <c r="B330" s="1" t="s">
        <v>2567</v>
      </c>
      <c r="C330" s="1" t="s">
        <v>2568</v>
      </c>
      <c r="D330" s="1" t="s">
        <v>2569</v>
      </c>
      <c r="E330" s="24">
        <v>45992</v>
      </c>
      <c r="F330" s="2" t="s">
        <v>103</v>
      </c>
      <c r="G330" s="1" t="s">
        <v>54</v>
      </c>
      <c r="H330" s="1" t="s">
        <v>36</v>
      </c>
      <c r="I330" s="1" t="s">
        <v>37</v>
      </c>
      <c r="J330" s="1" t="s">
        <v>38</v>
      </c>
      <c r="K330" s="1" t="s">
        <v>55</v>
      </c>
      <c r="L330" s="1" t="s">
        <v>69</v>
      </c>
      <c r="M330" s="1" t="s">
        <v>119</v>
      </c>
      <c r="N330" s="1" t="s">
        <v>42</v>
      </c>
      <c r="O330" s="1" t="s">
        <v>2381</v>
      </c>
      <c r="P330" s="1" t="s">
        <v>120</v>
      </c>
      <c r="Q330" s="1" t="s">
        <v>42</v>
      </c>
      <c r="R330" s="1" t="s">
        <v>2570</v>
      </c>
      <c r="S330" s="1" t="s">
        <v>135</v>
      </c>
      <c r="T330" s="1" t="s">
        <v>60</v>
      </c>
      <c r="U330" s="1" t="s">
        <v>2571</v>
      </c>
      <c r="V330" s="1" t="s">
        <v>2572</v>
      </c>
      <c r="W330" s="1" t="s">
        <v>35</v>
      </c>
      <c r="X330" s="1" t="s">
        <v>35</v>
      </c>
      <c r="Y330" s="1" t="s">
        <v>49</v>
      </c>
      <c r="Z330" s="1" t="s">
        <v>35</v>
      </c>
      <c r="AA330" s="1" t="s">
        <v>35</v>
      </c>
      <c r="AB330" s="1" t="s">
        <v>35</v>
      </c>
      <c r="AC330" s="1" t="s">
        <v>127</v>
      </c>
      <c r="AD330" s="1" t="s">
        <v>2573</v>
      </c>
      <c r="AE330" s="1" t="s">
        <v>2574</v>
      </c>
      <c r="AF330" s="1" t="s">
        <v>2575</v>
      </c>
    </row>
    <row r="331" spans="1:32" x14ac:dyDescent="0.25">
      <c r="A331" s="1" t="s">
        <v>50</v>
      </c>
      <c r="B331" s="1" t="s">
        <v>2576</v>
      </c>
      <c r="C331" s="1" t="s">
        <v>2577</v>
      </c>
      <c r="D331" s="1" t="s">
        <v>2578</v>
      </c>
      <c r="E331" s="24">
        <v>45992</v>
      </c>
      <c r="F331" s="2" t="s">
        <v>103</v>
      </c>
      <c r="G331" s="1" t="s">
        <v>54</v>
      </c>
      <c r="H331" s="1" t="s">
        <v>36</v>
      </c>
      <c r="I331" s="1" t="s">
        <v>37</v>
      </c>
      <c r="J331" s="1" t="s">
        <v>38</v>
      </c>
      <c r="K331" s="1" t="s">
        <v>55</v>
      </c>
      <c r="L331" s="1" t="s">
        <v>69</v>
      </c>
      <c r="M331" s="1" t="s">
        <v>1729</v>
      </c>
      <c r="N331" s="1" t="s">
        <v>42</v>
      </c>
      <c r="O331" s="1" t="s">
        <v>2381</v>
      </c>
      <c r="P331" s="1" t="s">
        <v>1729</v>
      </c>
      <c r="Q331" s="1" t="s">
        <v>42</v>
      </c>
      <c r="R331" s="1" t="s">
        <v>2579</v>
      </c>
      <c r="S331" s="1" t="s">
        <v>252</v>
      </c>
      <c r="T331" s="1" t="s">
        <v>46</v>
      </c>
      <c r="U331" s="1" t="s">
        <v>61</v>
      </c>
      <c r="V331" s="1" t="s">
        <v>2580</v>
      </c>
      <c r="W331" s="1" t="s">
        <v>35</v>
      </c>
      <c r="X331" s="1" t="s">
        <v>35</v>
      </c>
      <c r="Y331" s="1" t="s">
        <v>49</v>
      </c>
      <c r="Z331" s="1" t="s">
        <v>35</v>
      </c>
      <c r="AA331" s="1" t="s">
        <v>35</v>
      </c>
      <c r="AB331" s="1" t="s">
        <v>35</v>
      </c>
      <c r="AC331" s="1" t="s">
        <v>35</v>
      </c>
      <c r="AD331" s="1" t="s">
        <v>35</v>
      </c>
      <c r="AE331" s="1" t="s">
        <v>2581</v>
      </c>
      <c r="AF331" s="1" t="s">
        <v>2582</v>
      </c>
    </row>
    <row r="332" spans="1:32" x14ac:dyDescent="0.25">
      <c r="A332" s="1" t="s">
        <v>50</v>
      </c>
      <c r="B332" s="1" t="s">
        <v>2583</v>
      </c>
      <c r="C332" s="1" t="s">
        <v>2584</v>
      </c>
      <c r="D332" s="1" t="s">
        <v>2585</v>
      </c>
      <c r="E332" s="24">
        <v>45994</v>
      </c>
      <c r="F332" s="2" t="s">
        <v>102</v>
      </c>
      <c r="G332" s="1" t="s">
        <v>54</v>
      </c>
      <c r="H332" s="1" t="s">
        <v>36</v>
      </c>
      <c r="I332" s="1" t="s">
        <v>37</v>
      </c>
      <c r="J332" s="1" t="s">
        <v>38</v>
      </c>
      <c r="K332" s="1" t="s">
        <v>55</v>
      </c>
      <c r="L332" s="1" t="s">
        <v>69</v>
      </c>
      <c r="M332" s="1" t="s">
        <v>56</v>
      </c>
      <c r="N332" s="1" t="s">
        <v>42</v>
      </c>
      <c r="O332" s="1" t="s">
        <v>2381</v>
      </c>
      <c r="P332" s="1" t="s">
        <v>56</v>
      </c>
      <c r="Q332" s="1" t="s">
        <v>42</v>
      </c>
      <c r="R332" s="1" t="s">
        <v>2586</v>
      </c>
      <c r="S332" s="1" t="s">
        <v>259</v>
      </c>
      <c r="T332" s="1" t="s">
        <v>46</v>
      </c>
      <c r="U332" s="1" t="s">
        <v>81</v>
      </c>
      <c r="V332" s="1" t="s">
        <v>2587</v>
      </c>
      <c r="W332" s="1" t="s">
        <v>35</v>
      </c>
      <c r="X332" s="1" t="s">
        <v>35</v>
      </c>
      <c r="Y332" s="1" t="s">
        <v>49</v>
      </c>
      <c r="Z332" s="1" t="s">
        <v>35</v>
      </c>
      <c r="AA332" s="1" t="s">
        <v>35</v>
      </c>
      <c r="AB332" s="1" t="s">
        <v>35</v>
      </c>
      <c r="AC332" s="1" t="s">
        <v>35</v>
      </c>
      <c r="AD332" s="1" t="s">
        <v>35</v>
      </c>
      <c r="AE332" s="1" t="s">
        <v>2588</v>
      </c>
      <c r="AF332" s="1" t="s">
        <v>2589</v>
      </c>
    </row>
    <row r="333" spans="1:32" x14ac:dyDescent="0.25">
      <c r="A333" s="1" t="s">
        <v>50</v>
      </c>
      <c r="B333" s="1" t="s">
        <v>2590</v>
      </c>
      <c r="C333" s="1" t="s">
        <v>2591</v>
      </c>
      <c r="D333" s="1" t="s">
        <v>2592</v>
      </c>
      <c r="E333" s="24">
        <v>45995</v>
      </c>
      <c r="F333" s="2" t="s">
        <v>103</v>
      </c>
      <c r="G333" s="1" t="s">
        <v>302</v>
      </c>
      <c r="H333" s="1" t="s">
        <v>36</v>
      </c>
      <c r="I333" s="1" t="s">
        <v>37</v>
      </c>
      <c r="J333" s="1" t="s">
        <v>38</v>
      </c>
      <c r="K333" s="1" t="s">
        <v>55</v>
      </c>
      <c r="L333" s="1" t="s">
        <v>242</v>
      </c>
      <c r="M333" s="1" t="s">
        <v>835</v>
      </c>
      <c r="N333" s="1" t="s">
        <v>42</v>
      </c>
      <c r="O333" s="1" t="s">
        <v>2381</v>
      </c>
      <c r="P333" s="1" t="s">
        <v>835</v>
      </c>
      <c r="Q333" s="1" t="s">
        <v>42</v>
      </c>
      <c r="R333" s="1" t="s">
        <v>2593</v>
      </c>
      <c r="S333" s="1" t="s">
        <v>1341</v>
      </c>
      <c r="T333" s="1" t="s">
        <v>46</v>
      </c>
      <c r="U333" s="1" t="s">
        <v>145</v>
      </c>
      <c r="V333" s="1" t="s">
        <v>2594</v>
      </c>
      <c r="W333" s="1" t="s">
        <v>35</v>
      </c>
      <c r="X333" s="1" t="s">
        <v>35</v>
      </c>
      <c r="Y333" s="1" t="s">
        <v>49</v>
      </c>
      <c r="Z333" s="1" t="s">
        <v>35</v>
      </c>
      <c r="AA333" s="1" t="s">
        <v>35</v>
      </c>
      <c r="AB333" s="1" t="s">
        <v>35</v>
      </c>
      <c r="AC333" s="1" t="s">
        <v>35</v>
      </c>
      <c r="AD333" s="1" t="s">
        <v>35</v>
      </c>
      <c r="AE333" s="1" t="s">
        <v>2595</v>
      </c>
      <c r="AF333" s="1" t="s">
        <v>2596</v>
      </c>
    </row>
    <row r="334" spans="1:32" x14ac:dyDescent="0.25">
      <c r="A334" s="1" t="s">
        <v>65</v>
      </c>
      <c r="B334" s="1" t="s">
        <v>2597</v>
      </c>
      <c r="C334" s="1" t="s">
        <v>2598</v>
      </c>
      <c r="D334" s="1" t="s">
        <v>2599</v>
      </c>
      <c r="E334" s="24">
        <v>45998</v>
      </c>
      <c r="F334" s="2" t="s">
        <v>102</v>
      </c>
      <c r="G334" s="1" t="s">
        <v>194</v>
      </c>
      <c r="H334" s="1" t="s">
        <v>36</v>
      </c>
      <c r="I334" s="1" t="s">
        <v>37</v>
      </c>
      <c r="J334" s="1" t="s">
        <v>432</v>
      </c>
      <c r="K334" s="1" t="s">
        <v>55</v>
      </c>
      <c r="L334" s="1" t="s">
        <v>242</v>
      </c>
      <c r="M334" s="1" t="s">
        <v>705</v>
      </c>
      <c r="N334" s="1" t="s">
        <v>42</v>
      </c>
      <c r="O334" s="1" t="s">
        <v>2381</v>
      </c>
      <c r="P334" s="1" t="s">
        <v>706</v>
      </c>
      <c r="Q334" s="1" t="s">
        <v>42</v>
      </c>
      <c r="R334" s="1" t="s">
        <v>968</v>
      </c>
      <c r="S334" s="1" t="s">
        <v>969</v>
      </c>
      <c r="T334" s="1" t="s">
        <v>60</v>
      </c>
      <c r="U334" s="1" t="s">
        <v>61</v>
      </c>
      <c r="V334" s="1" t="s">
        <v>2600</v>
      </c>
      <c r="W334" s="1" t="s">
        <v>35</v>
      </c>
      <c r="X334" s="1" t="s">
        <v>35</v>
      </c>
      <c r="Y334" s="1" t="s">
        <v>49</v>
      </c>
      <c r="Z334" s="1" t="s">
        <v>35</v>
      </c>
      <c r="AA334" s="1" t="s">
        <v>35</v>
      </c>
      <c r="AB334" s="1" t="s">
        <v>35</v>
      </c>
      <c r="AC334" s="1" t="s">
        <v>35</v>
      </c>
      <c r="AD334" s="1" t="s">
        <v>35</v>
      </c>
      <c r="AE334" s="1" t="s">
        <v>2601</v>
      </c>
      <c r="AF334" s="1" t="s">
        <v>2602</v>
      </c>
    </row>
    <row r="335" spans="1:32" x14ac:dyDescent="0.25">
      <c r="A335" s="1" t="s">
        <v>50</v>
      </c>
      <c r="B335" s="1" t="s">
        <v>2603</v>
      </c>
      <c r="C335" s="1" t="s">
        <v>2604</v>
      </c>
      <c r="D335" s="1" t="s">
        <v>2605</v>
      </c>
      <c r="E335" s="24">
        <v>45998</v>
      </c>
      <c r="F335" s="2" t="s">
        <v>102</v>
      </c>
      <c r="G335" s="1" t="s">
        <v>194</v>
      </c>
      <c r="H335" s="1" t="s">
        <v>36</v>
      </c>
      <c r="I335" s="1" t="s">
        <v>37</v>
      </c>
      <c r="J335" s="1" t="s">
        <v>432</v>
      </c>
      <c r="K335" s="1" t="s">
        <v>55</v>
      </c>
      <c r="L335" s="1" t="s">
        <v>242</v>
      </c>
      <c r="M335" s="1" t="s">
        <v>705</v>
      </c>
      <c r="N335" s="1" t="s">
        <v>42</v>
      </c>
      <c r="O335" s="1" t="s">
        <v>2381</v>
      </c>
      <c r="P335" s="1" t="s">
        <v>1199</v>
      </c>
      <c r="Q335" s="1" t="s">
        <v>42</v>
      </c>
      <c r="R335" s="1" t="s">
        <v>2606</v>
      </c>
      <c r="S335" s="1" t="s">
        <v>197</v>
      </c>
      <c r="T335" s="1" t="s">
        <v>46</v>
      </c>
      <c r="U335" s="1" t="s">
        <v>61</v>
      </c>
      <c r="V335" s="1" t="s">
        <v>2607</v>
      </c>
      <c r="W335" s="1" t="s">
        <v>35</v>
      </c>
      <c r="X335" s="1" t="s">
        <v>35</v>
      </c>
      <c r="Y335" s="1" t="s">
        <v>49</v>
      </c>
      <c r="Z335" s="1" t="s">
        <v>35</v>
      </c>
      <c r="AA335" s="1" t="s">
        <v>35</v>
      </c>
      <c r="AB335" s="1" t="s">
        <v>35</v>
      </c>
      <c r="AC335" s="1" t="s">
        <v>35</v>
      </c>
      <c r="AD335" s="1" t="s">
        <v>35</v>
      </c>
      <c r="AE335" s="1" t="s">
        <v>2608</v>
      </c>
      <c r="AF335" s="1" t="s">
        <v>2609</v>
      </c>
    </row>
    <row r="336" spans="1:32" x14ac:dyDescent="0.25">
      <c r="A336" s="1" t="s">
        <v>50</v>
      </c>
      <c r="B336" s="1" t="s">
        <v>2610</v>
      </c>
      <c r="C336" s="1" t="s">
        <v>2611</v>
      </c>
      <c r="D336" s="1" t="s">
        <v>2612</v>
      </c>
      <c r="E336" s="24">
        <v>45999</v>
      </c>
      <c r="F336" s="2" t="s">
        <v>102</v>
      </c>
      <c r="G336" s="1" t="s">
        <v>302</v>
      </c>
      <c r="H336" s="1" t="s">
        <v>36</v>
      </c>
      <c r="I336" s="1" t="s">
        <v>37</v>
      </c>
      <c r="J336" s="1" t="s">
        <v>38</v>
      </c>
      <c r="K336" s="1" t="s">
        <v>55</v>
      </c>
      <c r="L336" s="1" t="s">
        <v>176</v>
      </c>
      <c r="M336" s="1" t="s">
        <v>177</v>
      </c>
      <c r="N336" s="1" t="s">
        <v>42</v>
      </c>
      <c r="O336" s="1" t="s">
        <v>2381</v>
      </c>
      <c r="P336" s="1" t="s">
        <v>1468</v>
      </c>
      <c r="Q336" s="1" t="s">
        <v>42</v>
      </c>
      <c r="R336" s="1" t="s">
        <v>2613</v>
      </c>
      <c r="S336" s="1" t="s">
        <v>969</v>
      </c>
      <c r="T336" s="1" t="s">
        <v>60</v>
      </c>
      <c r="U336" s="1" t="s">
        <v>668</v>
      </c>
      <c r="V336" s="1" t="s">
        <v>2486</v>
      </c>
      <c r="W336" s="1" t="s">
        <v>35</v>
      </c>
      <c r="X336" s="1" t="s">
        <v>35</v>
      </c>
      <c r="Y336" s="1" t="s">
        <v>49</v>
      </c>
      <c r="Z336" s="1" t="s">
        <v>35</v>
      </c>
      <c r="AA336" s="1" t="s">
        <v>35</v>
      </c>
      <c r="AB336" s="1" t="s">
        <v>35</v>
      </c>
      <c r="AC336" s="1" t="s">
        <v>1603</v>
      </c>
      <c r="AD336" s="1" t="s">
        <v>2614</v>
      </c>
      <c r="AE336" s="1" t="s">
        <v>2615</v>
      </c>
      <c r="AF336" s="1" t="s">
        <v>2616</v>
      </c>
    </row>
    <row r="337" spans="1:32" x14ac:dyDescent="0.25">
      <c r="A337" s="1" t="s">
        <v>50</v>
      </c>
      <c r="B337" s="1" t="s">
        <v>2617</v>
      </c>
      <c r="C337" s="1" t="s">
        <v>2618</v>
      </c>
      <c r="D337" s="1" t="s">
        <v>2619</v>
      </c>
      <c r="E337" s="24">
        <v>45999</v>
      </c>
      <c r="F337" s="2" t="s">
        <v>102</v>
      </c>
      <c r="G337" s="1" t="s">
        <v>54</v>
      </c>
      <c r="H337" s="1" t="s">
        <v>36</v>
      </c>
      <c r="I337" s="1" t="s">
        <v>37</v>
      </c>
      <c r="J337" s="1" t="s">
        <v>38</v>
      </c>
      <c r="K337" s="1" t="s">
        <v>55</v>
      </c>
      <c r="L337" s="1" t="s">
        <v>40</v>
      </c>
      <c r="M337" s="1" t="s">
        <v>56</v>
      </c>
      <c r="N337" s="1" t="s">
        <v>42</v>
      </c>
      <c r="O337" s="1" t="s">
        <v>2381</v>
      </c>
      <c r="P337" s="1" t="s">
        <v>56</v>
      </c>
      <c r="Q337" s="1" t="s">
        <v>42</v>
      </c>
      <c r="R337" s="1" t="s">
        <v>2620</v>
      </c>
      <c r="S337" s="1" t="s">
        <v>555</v>
      </c>
      <c r="T337" s="1" t="s">
        <v>60</v>
      </c>
      <c r="U337" s="1" t="s">
        <v>145</v>
      </c>
      <c r="V337" s="1" t="s">
        <v>2621</v>
      </c>
      <c r="W337" s="1" t="s">
        <v>35</v>
      </c>
      <c r="X337" s="1" t="s">
        <v>35</v>
      </c>
      <c r="Y337" s="1" t="s">
        <v>49</v>
      </c>
      <c r="Z337" s="1" t="s">
        <v>35</v>
      </c>
      <c r="AA337" s="1" t="s">
        <v>35</v>
      </c>
      <c r="AB337" s="1" t="s">
        <v>35</v>
      </c>
      <c r="AC337" s="1" t="s">
        <v>2549</v>
      </c>
      <c r="AD337" s="1" t="s">
        <v>2622</v>
      </c>
      <c r="AE337" s="1" t="s">
        <v>2623</v>
      </c>
      <c r="AF337" s="1" t="s">
        <v>2624</v>
      </c>
    </row>
    <row r="338" spans="1:32" x14ac:dyDescent="0.25">
      <c r="A338" s="1" t="s">
        <v>50</v>
      </c>
      <c r="B338" s="1" t="s">
        <v>2625</v>
      </c>
      <c r="C338" s="1" t="s">
        <v>2626</v>
      </c>
      <c r="D338" s="1" t="s">
        <v>2627</v>
      </c>
      <c r="E338" s="24">
        <v>46000</v>
      </c>
      <c r="F338" s="2" t="s">
        <v>103</v>
      </c>
      <c r="G338" s="1" t="s">
        <v>302</v>
      </c>
      <c r="H338" s="1" t="s">
        <v>36</v>
      </c>
      <c r="I338" s="1" t="s">
        <v>37</v>
      </c>
      <c r="J338" s="1" t="s">
        <v>38</v>
      </c>
      <c r="K338" s="1" t="s">
        <v>55</v>
      </c>
      <c r="L338" s="1" t="s">
        <v>69</v>
      </c>
      <c r="M338" s="1" t="s">
        <v>1729</v>
      </c>
      <c r="N338" s="1" t="s">
        <v>42</v>
      </c>
      <c r="O338" s="1" t="s">
        <v>2381</v>
      </c>
      <c r="P338" s="1" t="s">
        <v>1729</v>
      </c>
      <c r="Q338" s="1" t="s">
        <v>42</v>
      </c>
      <c r="R338" s="1" t="s">
        <v>2628</v>
      </c>
      <c r="S338" s="1" t="s">
        <v>478</v>
      </c>
      <c r="T338" s="1" t="s">
        <v>60</v>
      </c>
      <c r="U338" s="1" t="s">
        <v>61</v>
      </c>
      <c r="V338" s="1" t="s">
        <v>2629</v>
      </c>
      <c r="W338" s="1" t="s">
        <v>35</v>
      </c>
      <c r="X338" s="1" t="s">
        <v>35</v>
      </c>
      <c r="Y338" s="1" t="s">
        <v>49</v>
      </c>
      <c r="Z338" s="1" t="s">
        <v>35</v>
      </c>
      <c r="AA338" s="1" t="s">
        <v>35</v>
      </c>
      <c r="AB338" s="1" t="s">
        <v>35</v>
      </c>
      <c r="AC338" s="1" t="s">
        <v>35</v>
      </c>
      <c r="AD338" s="1" t="s">
        <v>35</v>
      </c>
      <c r="AE338" s="1" t="s">
        <v>2630</v>
      </c>
      <c r="AF338" s="1" t="s">
        <v>2631</v>
      </c>
    </row>
    <row r="339" spans="1:32" x14ac:dyDescent="0.25">
      <c r="A339" s="1" t="s">
        <v>50</v>
      </c>
      <c r="B339" s="1" t="s">
        <v>2632</v>
      </c>
      <c r="C339" s="1" t="s">
        <v>2633</v>
      </c>
      <c r="D339" s="1" t="s">
        <v>2634</v>
      </c>
      <c r="E339" s="2">
        <v>46001</v>
      </c>
      <c r="F339" s="2" t="s">
        <v>102</v>
      </c>
      <c r="G339" s="1" t="s">
        <v>35</v>
      </c>
      <c r="H339" s="1" t="s">
        <v>36</v>
      </c>
      <c r="I339" s="1" t="s">
        <v>37</v>
      </c>
      <c r="J339" s="1" t="s">
        <v>38</v>
      </c>
      <c r="K339" s="1" t="s">
        <v>55</v>
      </c>
      <c r="L339" s="1" t="s">
        <v>69</v>
      </c>
      <c r="M339" s="1" t="s">
        <v>56</v>
      </c>
      <c r="N339" s="1" t="s">
        <v>42</v>
      </c>
      <c r="O339" s="1" t="s">
        <v>2381</v>
      </c>
      <c r="P339" s="1" t="s">
        <v>56</v>
      </c>
      <c r="Q339" s="1" t="s">
        <v>42</v>
      </c>
      <c r="R339" s="1" t="s">
        <v>2635</v>
      </c>
      <c r="S339" s="1" t="s">
        <v>259</v>
      </c>
      <c r="T339" s="1" t="s">
        <v>46</v>
      </c>
      <c r="U339" s="1" t="s">
        <v>61</v>
      </c>
      <c r="V339" s="1" t="s">
        <v>2636</v>
      </c>
      <c r="W339" s="1" t="s">
        <v>35</v>
      </c>
      <c r="X339" s="1" t="s">
        <v>35</v>
      </c>
      <c r="Y339" s="1" t="s">
        <v>49</v>
      </c>
      <c r="Z339" s="1" t="s">
        <v>35</v>
      </c>
      <c r="AA339" s="1" t="s">
        <v>35</v>
      </c>
      <c r="AB339" s="1" t="s">
        <v>35</v>
      </c>
      <c r="AC339" s="1" t="s">
        <v>2637</v>
      </c>
      <c r="AD339" s="1" t="s">
        <v>2638</v>
      </c>
      <c r="AE339" s="1" t="s">
        <v>2639</v>
      </c>
      <c r="AF339" s="1" t="s">
        <v>2640</v>
      </c>
    </row>
    <row r="340" spans="1:32" x14ac:dyDescent="0.25">
      <c r="A340" s="1" t="s">
        <v>50</v>
      </c>
      <c r="B340" s="1" t="s">
        <v>2641</v>
      </c>
      <c r="C340" s="1" t="s">
        <v>2642</v>
      </c>
      <c r="D340" s="1" t="s">
        <v>2643</v>
      </c>
      <c r="E340" s="2">
        <v>46002</v>
      </c>
      <c r="F340" s="2" t="s">
        <v>103</v>
      </c>
      <c r="G340" s="1" t="s">
        <v>35</v>
      </c>
      <c r="H340" s="1" t="s">
        <v>36</v>
      </c>
      <c r="I340" s="1" t="s">
        <v>37</v>
      </c>
      <c r="J340" s="1" t="s">
        <v>432</v>
      </c>
      <c r="K340" s="1" t="s">
        <v>55</v>
      </c>
      <c r="L340" s="1" t="s">
        <v>242</v>
      </c>
      <c r="M340" s="1" t="s">
        <v>2644</v>
      </c>
      <c r="N340" s="1" t="s">
        <v>42</v>
      </c>
      <c r="O340" s="1" t="s">
        <v>2381</v>
      </c>
      <c r="P340" s="1" t="s">
        <v>2644</v>
      </c>
      <c r="Q340" s="1" t="s">
        <v>42</v>
      </c>
      <c r="R340" s="1" t="s">
        <v>2645</v>
      </c>
      <c r="S340" s="1" t="s">
        <v>89</v>
      </c>
      <c r="T340" s="1" t="s">
        <v>60</v>
      </c>
      <c r="U340" s="1" t="s">
        <v>81</v>
      </c>
      <c r="V340" s="1" t="s">
        <v>253</v>
      </c>
      <c r="W340" s="1" t="s">
        <v>35</v>
      </c>
      <c r="X340" s="1" t="s">
        <v>35</v>
      </c>
      <c r="Y340" s="1" t="s">
        <v>49</v>
      </c>
      <c r="Z340" s="1" t="s">
        <v>35</v>
      </c>
      <c r="AA340" s="1" t="s">
        <v>35</v>
      </c>
      <c r="AB340" s="1" t="s">
        <v>35</v>
      </c>
      <c r="AC340" s="1" t="s">
        <v>35</v>
      </c>
      <c r="AD340" s="1" t="s">
        <v>35</v>
      </c>
      <c r="AE340" s="1" t="s">
        <v>2646</v>
      </c>
      <c r="AF340" s="1" t="s">
        <v>2647</v>
      </c>
    </row>
    <row r="341" spans="1:32" x14ac:dyDescent="0.25">
      <c r="A341" s="1" t="s">
        <v>65</v>
      </c>
      <c r="B341" s="1" t="s">
        <v>2648</v>
      </c>
      <c r="C341" s="1" t="s">
        <v>2649</v>
      </c>
      <c r="D341" s="1" t="s">
        <v>2650</v>
      </c>
      <c r="E341" s="2">
        <v>46005</v>
      </c>
      <c r="F341" s="2" t="s">
        <v>103</v>
      </c>
      <c r="G341" s="1" t="s">
        <v>54</v>
      </c>
      <c r="H341" s="1" t="s">
        <v>36</v>
      </c>
      <c r="I341" s="1" t="s">
        <v>37</v>
      </c>
      <c r="J341" s="1" t="s">
        <v>38</v>
      </c>
      <c r="K341" s="1" t="s">
        <v>55</v>
      </c>
      <c r="L341" s="1" t="s">
        <v>40</v>
      </c>
      <c r="M341" s="1" t="s">
        <v>119</v>
      </c>
      <c r="N341" s="1" t="s">
        <v>42</v>
      </c>
      <c r="O341" s="1" t="s">
        <v>2381</v>
      </c>
      <c r="P341" s="1" t="s">
        <v>1827</v>
      </c>
      <c r="Q341" s="1" t="s">
        <v>42</v>
      </c>
      <c r="R341" s="1" t="s">
        <v>2651</v>
      </c>
      <c r="S341" s="1" t="s">
        <v>756</v>
      </c>
      <c r="T341" s="1" t="s">
        <v>60</v>
      </c>
      <c r="U341" s="1" t="s">
        <v>215</v>
      </c>
      <c r="V341" s="1">
        <v>530290905</v>
      </c>
      <c r="W341" s="1" t="s">
        <v>35</v>
      </c>
      <c r="X341" s="1" t="s">
        <v>35</v>
      </c>
      <c r="Y341" s="1" t="s">
        <v>49</v>
      </c>
      <c r="Z341" s="1" t="s">
        <v>35</v>
      </c>
      <c r="AA341" s="1" t="s">
        <v>35</v>
      </c>
      <c r="AB341" s="1" t="s">
        <v>35</v>
      </c>
      <c r="AC341" s="1" t="s">
        <v>35</v>
      </c>
      <c r="AD341" s="1" t="s">
        <v>35</v>
      </c>
      <c r="AE341" s="1" t="s">
        <v>2652</v>
      </c>
      <c r="AF341" s="1" t="s">
        <v>2653</v>
      </c>
    </row>
    <row r="342" spans="1:32" x14ac:dyDescent="0.25">
      <c r="A342" s="1" t="s">
        <v>105</v>
      </c>
      <c r="B342" s="1" t="s">
        <v>2654</v>
      </c>
      <c r="C342" s="1" t="s">
        <v>2655</v>
      </c>
      <c r="D342" s="1" t="s">
        <v>2656</v>
      </c>
      <c r="E342" s="2">
        <v>46006</v>
      </c>
      <c r="F342" s="2" t="s">
        <v>2661</v>
      </c>
      <c r="G342" s="1" t="s">
        <v>35</v>
      </c>
      <c r="H342" s="1" t="s">
        <v>36</v>
      </c>
      <c r="I342" s="1" t="s">
        <v>37</v>
      </c>
      <c r="J342" s="1" t="s">
        <v>432</v>
      </c>
      <c r="K342" s="1" t="s">
        <v>55</v>
      </c>
      <c r="L342" s="1" t="s">
        <v>432</v>
      </c>
      <c r="M342" s="1" t="s">
        <v>705</v>
      </c>
      <c r="N342" s="1" t="s">
        <v>42</v>
      </c>
      <c r="O342" s="1" t="s">
        <v>2381</v>
      </c>
      <c r="P342" s="1" t="s">
        <v>1199</v>
      </c>
      <c r="Q342" s="1" t="s">
        <v>42</v>
      </c>
      <c r="R342" s="1" t="s">
        <v>2657</v>
      </c>
      <c r="S342" s="1" t="s">
        <v>675</v>
      </c>
      <c r="T342" s="1" t="s">
        <v>60</v>
      </c>
      <c r="U342" s="1" t="s">
        <v>112</v>
      </c>
      <c r="V342" s="1" t="s">
        <v>2658</v>
      </c>
      <c r="W342" s="1" t="s">
        <v>35</v>
      </c>
      <c r="X342" s="1" t="s">
        <v>35</v>
      </c>
      <c r="Y342" s="1" t="s">
        <v>49</v>
      </c>
      <c r="Z342" s="1" t="s">
        <v>35</v>
      </c>
      <c r="AA342" s="1" t="s">
        <v>35</v>
      </c>
      <c r="AB342" s="1" t="s">
        <v>35</v>
      </c>
      <c r="AC342" s="1" t="s">
        <v>35</v>
      </c>
      <c r="AD342" s="1" t="s">
        <v>35</v>
      </c>
      <c r="AE342" s="1" t="s">
        <v>2659</v>
      </c>
      <c r="AF342" s="1" t="s">
        <v>2660</v>
      </c>
    </row>
    <row r="343" spans="1:32" x14ac:dyDescent="0.25">
      <c r="A343" s="1" t="s">
        <v>50</v>
      </c>
      <c r="B343" s="1" t="s">
        <v>2662</v>
      </c>
      <c r="C343" s="1" t="s">
        <v>2663</v>
      </c>
      <c r="D343" s="1" t="s">
        <v>2664</v>
      </c>
      <c r="E343" s="2">
        <v>46006</v>
      </c>
      <c r="F343" s="2" t="s">
        <v>103</v>
      </c>
      <c r="G343" s="1" t="s">
        <v>54</v>
      </c>
      <c r="H343" s="1" t="s">
        <v>36</v>
      </c>
      <c r="I343" s="1" t="s">
        <v>37</v>
      </c>
      <c r="J343" s="1" t="s">
        <v>432</v>
      </c>
      <c r="K343" s="1" t="s">
        <v>55</v>
      </c>
      <c r="L343" s="1" t="s">
        <v>242</v>
      </c>
      <c r="M343" s="1" t="s">
        <v>658</v>
      </c>
      <c r="N343" s="1" t="s">
        <v>42</v>
      </c>
      <c r="O343" s="1" t="s">
        <v>2381</v>
      </c>
      <c r="P343" s="1" t="s">
        <v>658</v>
      </c>
      <c r="Q343" s="1" t="s">
        <v>42</v>
      </c>
      <c r="R343" s="1" t="s">
        <v>2683</v>
      </c>
      <c r="S343" s="1" t="s">
        <v>89</v>
      </c>
      <c r="T343" s="1" t="s">
        <v>46</v>
      </c>
      <c r="U343" s="1" t="s">
        <v>81</v>
      </c>
      <c r="V343" s="1" t="s">
        <v>2684</v>
      </c>
      <c r="W343" s="1" t="s">
        <v>35</v>
      </c>
      <c r="X343" s="1" t="s">
        <v>35</v>
      </c>
      <c r="Y343" s="1" t="s">
        <v>49</v>
      </c>
      <c r="Z343" s="1" t="s">
        <v>35</v>
      </c>
      <c r="AA343" s="1" t="s">
        <v>35</v>
      </c>
      <c r="AB343" s="1" t="s">
        <v>35</v>
      </c>
      <c r="AC343" s="1" t="s">
        <v>35</v>
      </c>
      <c r="AD343" s="1" t="s">
        <v>35</v>
      </c>
      <c r="AE343" s="1" t="s">
        <v>2685</v>
      </c>
      <c r="AF343" s="1" t="s">
        <v>2686</v>
      </c>
    </row>
    <row r="344" spans="1:32" x14ac:dyDescent="0.25">
      <c r="A344" s="1" t="s">
        <v>65</v>
      </c>
      <c r="B344" s="1" t="s">
        <v>2665</v>
      </c>
      <c r="C344" s="1" t="s">
        <v>2666</v>
      </c>
      <c r="D344" s="1" t="s">
        <v>2667</v>
      </c>
      <c r="E344" s="2">
        <v>46006</v>
      </c>
      <c r="F344" s="2" t="s">
        <v>103</v>
      </c>
      <c r="G344" s="1" t="s">
        <v>302</v>
      </c>
      <c r="H344" s="1" t="s">
        <v>36</v>
      </c>
      <c r="I344" s="1" t="s">
        <v>37</v>
      </c>
      <c r="J344" s="1" t="s">
        <v>38</v>
      </c>
      <c r="K344" s="1" t="s">
        <v>55</v>
      </c>
      <c r="L344" s="1" t="s">
        <v>242</v>
      </c>
      <c r="M344" s="1" t="s">
        <v>70</v>
      </c>
      <c r="N344" s="1" t="s">
        <v>42</v>
      </c>
      <c r="O344" s="1" t="s">
        <v>2381</v>
      </c>
      <c r="P344" s="1" t="s">
        <v>70</v>
      </c>
      <c r="Q344" s="1" t="s">
        <v>42</v>
      </c>
      <c r="R344" s="1" t="s">
        <v>2687</v>
      </c>
      <c r="S344" s="1" t="s">
        <v>304</v>
      </c>
      <c r="T344" s="1" t="s">
        <v>46</v>
      </c>
      <c r="U344" s="1" t="s">
        <v>145</v>
      </c>
      <c r="V344" s="1" t="s">
        <v>2688</v>
      </c>
      <c r="W344" s="1" t="s">
        <v>35</v>
      </c>
      <c r="X344" s="1" t="s">
        <v>35</v>
      </c>
      <c r="Y344" s="1" t="s">
        <v>49</v>
      </c>
      <c r="Z344" s="1" t="s">
        <v>35</v>
      </c>
      <c r="AA344" s="1" t="s">
        <v>35</v>
      </c>
      <c r="AB344" s="1" t="s">
        <v>35</v>
      </c>
      <c r="AC344" s="1" t="s">
        <v>35</v>
      </c>
      <c r="AD344" s="1" t="s">
        <v>35</v>
      </c>
      <c r="AE344" s="1" t="s">
        <v>2689</v>
      </c>
      <c r="AF344" s="1" t="s">
        <v>2690</v>
      </c>
    </row>
    <row r="345" spans="1:32" x14ac:dyDescent="0.25">
      <c r="A345" s="1" t="s">
        <v>50</v>
      </c>
      <c r="B345" s="1" t="s">
        <v>2668</v>
      </c>
      <c r="C345" s="1" t="s">
        <v>2669</v>
      </c>
      <c r="D345" s="1" t="s">
        <v>2670</v>
      </c>
      <c r="E345" s="2">
        <v>46007</v>
      </c>
      <c r="F345" s="2" t="s">
        <v>102</v>
      </c>
      <c r="G345" s="1" t="s">
        <v>35</v>
      </c>
      <c r="H345" s="1" t="s">
        <v>36</v>
      </c>
      <c r="I345" s="1" t="s">
        <v>37</v>
      </c>
      <c r="J345" s="1" t="s">
        <v>38</v>
      </c>
      <c r="K345" s="1" t="s">
        <v>55</v>
      </c>
      <c r="L345" s="1" t="s">
        <v>432</v>
      </c>
      <c r="M345" s="1" t="s">
        <v>2297</v>
      </c>
      <c r="N345" s="1" t="s">
        <v>42</v>
      </c>
      <c r="O345" s="1" t="s">
        <v>2381</v>
      </c>
      <c r="P345" s="1" t="s">
        <v>2297</v>
      </c>
      <c r="Q345" s="1" t="s">
        <v>42</v>
      </c>
      <c r="R345" s="1" t="s">
        <v>2691</v>
      </c>
      <c r="S345" s="1" t="s">
        <v>225</v>
      </c>
      <c r="T345" s="1" t="s">
        <v>60</v>
      </c>
      <c r="U345" s="1" t="s">
        <v>61</v>
      </c>
      <c r="V345" s="1" t="s">
        <v>2692</v>
      </c>
      <c r="W345" s="1" t="s">
        <v>35</v>
      </c>
      <c r="X345" s="1" t="s">
        <v>35</v>
      </c>
      <c r="Y345" s="1" t="s">
        <v>49</v>
      </c>
      <c r="Z345" s="1" t="s">
        <v>35</v>
      </c>
      <c r="AA345" s="1" t="s">
        <v>35</v>
      </c>
      <c r="AB345" s="1" t="s">
        <v>35</v>
      </c>
      <c r="AC345" s="1" t="s">
        <v>35</v>
      </c>
      <c r="AD345" s="1" t="s">
        <v>35</v>
      </c>
      <c r="AE345" s="1" t="s">
        <v>2693</v>
      </c>
      <c r="AF345" s="1" t="s">
        <v>2694</v>
      </c>
    </row>
    <row r="346" spans="1:32" x14ac:dyDescent="0.25">
      <c r="A346" s="1" t="s">
        <v>50</v>
      </c>
      <c r="B346" s="1" t="s">
        <v>2671</v>
      </c>
      <c r="C346" s="1" t="s">
        <v>2672</v>
      </c>
      <c r="D346" s="1" t="s">
        <v>2673</v>
      </c>
      <c r="E346" s="2">
        <v>46007</v>
      </c>
      <c r="F346" s="2" t="s">
        <v>103</v>
      </c>
      <c r="G346" s="1" t="s">
        <v>35</v>
      </c>
      <c r="H346" s="1" t="s">
        <v>36</v>
      </c>
      <c r="I346" s="1" t="s">
        <v>37</v>
      </c>
      <c r="J346" s="1" t="s">
        <v>432</v>
      </c>
      <c r="K346" s="1" t="s">
        <v>55</v>
      </c>
      <c r="L346" s="1" t="s">
        <v>432</v>
      </c>
      <c r="M346" s="1" t="s">
        <v>2695</v>
      </c>
      <c r="N346" s="1" t="s">
        <v>42</v>
      </c>
      <c r="O346" s="1" t="s">
        <v>2381</v>
      </c>
      <c r="P346" s="1" t="s">
        <v>976</v>
      </c>
      <c r="Q346" s="1" t="s">
        <v>42</v>
      </c>
      <c r="R346" s="1" t="s">
        <v>2696</v>
      </c>
      <c r="S346" s="1" t="s">
        <v>111</v>
      </c>
      <c r="T346" s="1" t="s">
        <v>46</v>
      </c>
      <c r="U346" s="1" t="s">
        <v>81</v>
      </c>
      <c r="V346" s="1" t="s">
        <v>2697</v>
      </c>
      <c r="W346" s="1" t="s">
        <v>35</v>
      </c>
      <c r="X346" s="1" t="s">
        <v>35</v>
      </c>
      <c r="Y346" s="1" t="s">
        <v>49</v>
      </c>
      <c r="Z346" s="1" t="s">
        <v>35</v>
      </c>
      <c r="AA346" s="1" t="s">
        <v>35</v>
      </c>
      <c r="AB346" s="1" t="s">
        <v>35</v>
      </c>
      <c r="AC346" s="1" t="s">
        <v>35</v>
      </c>
      <c r="AD346" s="1" t="s">
        <v>35</v>
      </c>
      <c r="AE346" s="1" t="s">
        <v>2698</v>
      </c>
      <c r="AF346" s="1" t="s">
        <v>2699</v>
      </c>
    </row>
    <row r="347" spans="1:32" x14ac:dyDescent="0.25">
      <c r="A347" s="1" t="s">
        <v>50</v>
      </c>
      <c r="B347" s="1" t="s">
        <v>2674</v>
      </c>
      <c r="C347" s="1" t="s">
        <v>2675</v>
      </c>
      <c r="D347" s="1" t="s">
        <v>2676</v>
      </c>
      <c r="E347" s="2">
        <v>46007</v>
      </c>
      <c r="F347" s="2" t="s">
        <v>102</v>
      </c>
      <c r="G347" s="1" t="s">
        <v>54</v>
      </c>
      <c r="H347" s="1" t="s">
        <v>36</v>
      </c>
      <c r="I347" s="1" t="s">
        <v>37</v>
      </c>
      <c r="J347" s="1" t="s">
        <v>38</v>
      </c>
      <c r="K347" s="1" t="s">
        <v>55</v>
      </c>
      <c r="L347" s="1" t="s">
        <v>40</v>
      </c>
      <c r="M347" s="1" t="s">
        <v>56</v>
      </c>
      <c r="N347" s="1" t="s">
        <v>42</v>
      </c>
      <c r="O347" s="1" t="s">
        <v>2381</v>
      </c>
      <c r="P347" s="1" t="s">
        <v>57</v>
      </c>
      <c r="Q347" s="1" t="s">
        <v>42</v>
      </c>
      <c r="R347" s="1" t="s">
        <v>2700</v>
      </c>
      <c r="S347" s="1" t="s">
        <v>98</v>
      </c>
      <c r="T347" s="1" t="s">
        <v>46</v>
      </c>
      <c r="U347" s="1" t="s">
        <v>81</v>
      </c>
      <c r="V347" s="1" t="s">
        <v>2701</v>
      </c>
      <c r="W347" s="1" t="s">
        <v>125</v>
      </c>
      <c r="X347" s="1" t="s">
        <v>2702</v>
      </c>
      <c r="Y347" s="1" t="s">
        <v>104</v>
      </c>
      <c r="Z347" s="1" t="s">
        <v>35</v>
      </c>
      <c r="AA347" s="1" t="s">
        <v>35</v>
      </c>
      <c r="AB347" s="1" t="s">
        <v>35</v>
      </c>
      <c r="AC347" s="1" t="s">
        <v>35</v>
      </c>
      <c r="AD347" s="1" t="s">
        <v>35</v>
      </c>
      <c r="AE347" s="1" t="s">
        <v>2703</v>
      </c>
      <c r="AF347" s="1" t="s">
        <v>2704</v>
      </c>
    </row>
    <row r="348" spans="1:32" x14ac:dyDescent="0.25">
      <c r="A348" s="1" t="s">
        <v>50</v>
      </c>
      <c r="B348" s="1" t="s">
        <v>2677</v>
      </c>
      <c r="C348" s="1" t="s">
        <v>2678</v>
      </c>
      <c r="D348" s="1" t="s">
        <v>2679</v>
      </c>
      <c r="E348" s="2">
        <v>46010</v>
      </c>
      <c r="F348" s="2" t="s">
        <v>103</v>
      </c>
      <c r="G348" s="1" t="s">
        <v>35</v>
      </c>
      <c r="H348" s="1" t="s">
        <v>36</v>
      </c>
      <c r="I348" s="1" t="s">
        <v>37</v>
      </c>
      <c r="J348" s="1" t="s">
        <v>432</v>
      </c>
      <c r="K348" s="1" t="s">
        <v>55</v>
      </c>
      <c r="L348" s="1" t="s">
        <v>432</v>
      </c>
      <c r="M348" s="1" t="s">
        <v>705</v>
      </c>
      <c r="N348" s="1" t="s">
        <v>42</v>
      </c>
      <c r="O348" s="1" t="s">
        <v>2381</v>
      </c>
      <c r="P348" s="1" t="s">
        <v>1199</v>
      </c>
      <c r="Q348" s="1" t="s">
        <v>42</v>
      </c>
      <c r="R348" s="1" t="s">
        <v>434</v>
      </c>
      <c r="S348" s="1" t="s">
        <v>367</v>
      </c>
      <c r="T348" s="1" t="s">
        <v>60</v>
      </c>
      <c r="U348" s="1" t="s">
        <v>145</v>
      </c>
      <c r="V348" s="1" t="s">
        <v>2705</v>
      </c>
      <c r="W348" s="1" t="s">
        <v>35</v>
      </c>
      <c r="X348" s="1" t="s">
        <v>35</v>
      </c>
      <c r="Y348" s="1" t="s">
        <v>49</v>
      </c>
      <c r="Z348" s="1" t="s">
        <v>35</v>
      </c>
      <c r="AA348" s="1" t="s">
        <v>35</v>
      </c>
      <c r="AB348" s="1" t="s">
        <v>35</v>
      </c>
      <c r="AC348" s="1" t="s">
        <v>35</v>
      </c>
      <c r="AD348" s="1" t="s">
        <v>35</v>
      </c>
      <c r="AE348" s="1" t="s">
        <v>2706</v>
      </c>
      <c r="AF348" s="1" t="s">
        <v>2707</v>
      </c>
    </row>
    <row r="349" spans="1:32" x14ac:dyDescent="0.25">
      <c r="A349" s="1" t="s">
        <v>50</v>
      </c>
      <c r="B349" s="1" t="s">
        <v>2680</v>
      </c>
      <c r="C349" s="1" t="s">
        <v>2681</v>
      </c>
      <c r="D349" s="1" t="s">
        <v>2682</v>
      </c>
      <c r="E349" s="2">
        <v>46012</v>
      </c>
      <c r="F349" s="2" t="s">
        <v>103</v>
      </c>
      <c r="G349" s="1" t="s">
        <v>35</v>
      </c>
      <c r="H349" s="1" t="s">
        <v>36</v>
      </c>
      <c r="I349" s="1" t="s">
        <v>37</v>
      </c>
      <c r="J349" s="1" t="s">
        <v>432</v>
      </c>
      <c r="K349" s="1" t="s">
        <v>55</v>
      </c>
      <c r="L349" s="1" t="s">
        <v>432</v>
      </c>
      <c r="M349" s="1" t="s">
        <v>705</v>
      </c>
      <c r="N349" s="1" t="s">
        <v>42</v>
      </c>
      <c r="O349" s="1" t="s">
        <v>2381</v>
      </c>
      <c r="P349" s="1" t="s">
        <v>1199</v>
      </c>
      <c r="Q349" s="1" t="s">
        <v>42</v>
      </c>
      <c r="R349" s="1" t="s">
        <v>2708</v>
      </c>
      <c r="S349" s="1" t="s">
        <v>89</v>
      </c>
      <c r="T349" s="1" t="s">
        <v>46</v>
      </c>
      <c r="U349" s="1" t="s">
        <v>81</v>
      </c>
      <c r="V349" s="1">
        <v>553074922</v>
      </c>
      <c r="W349" s="1" t="s">
        <v>35</v>
      </c>
      <c r="X349" s="1" t="s">
        <v>35</v>
      </c>
      <c r="Y349" s="1" t="s">
        <v>49</v>
      </c>
      <c r="Z349" s="1" t="s">
        <v>35</v>
      </c>
      <c r="AA349" s="1" t="s">
        <v>35</v>
      </c>
      <c r="AB349" s="1" t="s">
        <v>35</v>
      </c>
      <c r="AC349" s="1" t="s">
        <v>35</v>
      </c>
      <c r="AD349" s="1" t="s">
        <v>35</v>
      </c>
      <c r="AE349" s="1" t="s">
        <v>2709</v>
      </c>
      <c r="AF349" s="1" t="s">
        <v>2710</v>
      </c>
    </row>
    <row r="350" spans="1:32" x14ac:dyDescent="0.25">
      <c r="A350" s="1" t="s">
        <v>31</v>
      </c>
      <c r="B350" s="1" t="s">
        <v>2712</v>
      </c>
      <c r="C350" s="1" t="s">
        <v>33</v>
      </c>
      <c r="D350" s="1" t="s">
        <v>2713</v>
      </c>
      <c r="E350" s="24">
        <v>46013</v>
      </c>
      <c r="F350" s="2"/>
      <c r="G350" s="1" t="s">
        <v>54</v>
      </c>
      <c r="H350" s="1" t="s">
        <v>36</v>
      </c>
      <c r="I350" s="1" t="s">
        <v>37</v>
      </c>
      <c r="J350" s="1" t="s">
        <v>38</v>
      </c>
      <c r="K350" s="1" t="s">
        <v>55</v>
      </c>
      <c r="L350" s="1" t="s">
        <v>432</v>
      </c>
      <c r="M350" s="1" t="s">
        <v>2297</v>
      </c>
      <c r="N350" s="1" t="s">
        <v>42</v>
      </c>
      <c r="O350" s="1" t="s">
        <v>2381</v>
      </c>
      <c r="P350" s="1" t="s">
        <v>2714</v>
      </c>
      <c r="Q350" s="1" t="s">
        <v>42</v>
      </c>
      <c r="R350" s="1" t="s">
        <v>2715</v>
      </c>
      <c r="S350" s="1" t="s">
        <v>98</v>
      </c>
      <c r="T350" s="1" t="s">
        <v>46</v>
      </c>
      <c r="U350" s="1" t="s">
        <v>160</v>
      </c>
      <c r="V350" s="1" t="s">
        <v>2716</v>
      </c>
      <c r="W350" s="1" t="s">
        <v>35</v>
      </c>
      <c r="X350" s="1" t="s">
        <v>35</v>
      </c>
      <c r="Y350" s="1" t="s">
        <v>49</v>
      </c>
      <c r="Z350" s="1" t="s">
        <v>35</v>
      </c>
      <c r="AA350" s="1" t="s">
        <v>35</v>
      </c>
      <c r="AB350" s="1" t="s">
        <v>35</v>
      </c>
      <c r="AC350" s="1" t="s">
        <v>35</v>
      </c>
      <c r="AD350" s="1" t="s">
        <v>35</v>
      </c>
      <c r="AE350" s="1" t="s">
        <v>2717</v>
      </c>
      <c r="AF350" s="1" t="s">
        <v>2718</v>
      </c>
    </row>
    <row r="351" spans="1:32" x14ac:dyDescent="0.25">
      <c r="A351" s="1" t="s">
        <v>50</v>
      </c>
      <c r="B351" s="1" t="s">
        <v>2719</v>
      </c>
      <c r="C351" s="1" t="s">
        <v>2720</v>
      </c>
      <c r="D351" s="1" t="s">
        <v>2721</v>
      </c>
      <c r="E351" s="24">
        <v>46015</v>
      </c>
      <c r="F351" s="2" t="s">
        <v>102</v>
      </c>
      <c r="G351" s="1" t="s">
        <v>302</v>
      </c>
      <c r="H351" s="1" t="s">
        <v>36</v>
      </c>
      <c r="I351" s="1" t="s">
        <v>37</v>
      </c>
      <c r="J351" s="1" t="s">
        <v>38</v>
      </c>
      <c r="K351" s="1" t="s">
        <v>55</v>
      </c>
      <c r="L351" s="1" t="s">
        <v>40</v>
      </c>
      <c r="M351" s="1" t="s">
        <v>56</v>
      </c>
      <c r="N351" s="1" t="s">
        <v>42</v>
      </c>
      <c r="O351" s="1" t="s">
        <v>2381</v>
      </c>
      <c r="P351" s="1" t="s">
        <v>158</v>
      </c>
      <c r="Q351" s="1" t="s">
        <v>42</v>
      </c>
      <c r="R351" s="1" t="s">
        <v>2722</v>
      </c>
      <c r="S351" s="1" t="s">
        <v>98</v>
      </c>
      <c r="T351" s="1" t="s">
        <v>60</v>
      </c>
      <c r="U351" s="1" t="s">
        <v>61</v>
      </c>
      <c r="V351" s="1" t="s">
        <v>2723</v>
      </c>
      <c r="W351" s="1" t="s">
        <v>125</v>
      </c>
      <c r="X351" s="1" t="s">
        <v>2724</v>
      </c>
      <c r="Y351" s="1" t="s">
        <v>104</v>
      </c>
      <c r="Z351" s="1" t="s">
        <v>35</v>
      </c>
      <c r="AA351" s="1" t="s">
        <v>35</v>
      </c>
      <c r="AB351" s="1" t="s">
        <v>35</v>
      </c>
      <c r="AC351" s="1" t="s">
        <v>2725</v>
      </c>
      <c r="AD351" s="1" t="s">
        <v>2726</v>
      </c>
      <c r="AE351" s="1" t="s">
        <v>2727</v>
      </c>
      <c r="AF351" s="1" t="s">
        <v>2728</v>
      </c>
    </row>
    <row r="352" spans="1:32" x14ac:dyDescent="0.25">
      <c r="A352" s="1" t="s">
        <v>50</v>
      </c>
      <c r="B352" s="1" t="s">
        <v>2729</v>
      </c>
      <c r="C352" s="1" t="s">
        <v>2730</v>
      </c>
      <c r="D352" s="1" t="s">
        <v>2731</v>
      </c>
      <c r="E352" s="24">
        <v>46018</v>
      </c>
      <c r="F352" s="2" t="s">
        <v>102</v>
      </c>
      <c r="G352" s="1" t="s">
        <v>302</v>
      </c>
      <c r="H352" s="1" t="s">
        <v>36</v>
      </c>
      <c r="I352" s="1" t="s">
        <v>37</v>
      </c>
      <c r="J352" s="1" t="s">
        <v>38</v>
      </c>
      <c r="K352" s="1" t="s">
        <v>55</v>
      </c>
      <c r="L352" s="1" t="s">
        <v>242</v>
      </c>
      <c r="M352" s="1" t="s">
        <v>1251</v>
      </c>
      <c r="N352" s="1" t="s">
        <v>42</v>
      </c>
      <c r="O352" s="1" t="s">
        <v>2381</v>
      </c>
      <c r="P352" s="1" t="s">
        <v>493</v>
      </c>
      <c r="Q352" s="1" t="s">
        <v>42</v>
      </c>
      <c r="R352" s="1" t="s">
        <v>303</v>
      </c>
      <c r="S352" s="1" t="s">
        <v>2732</v>
      </c>
      <c r="T352" s="1" t="s">
        <v>60</v>
      </c>
      <c r="U352" s="1" t="s">
        <v>61</v>
      </c>
      <c r="V352" s="1" t="s">
        <v>2733</v>
      </c>
      <c r="W352" s="1" t="s">
        <v>35</v>
      </c>
      <c r="X352" s="1" t="s">
        <v>35</v>
      </c>
      <c r="Y352" s="1" t="s">
        <v>49</v>
      </c>
      <c r="Z352" s="1" t="s">
        <v>35</v>
      </c>
      <c r="AA352" s="1" t="s">
        <v>35</v>
      </c>
      <c r="AB352" s="1" t="s">
        <v>35</v>
      </c>
      <c r="AC352" s="1" t="s">
        <v>2734</v>
      </c>
      <c r="AD352" s="1" t="s">
        <v>2726</v>
      </c>
      <c r="AE352" s="1" t="s">
        <v>2735</v>
      </c>
      <c r="AF352" s="1" t="s">
        <v>2736</v>
      </c>
    </row>
    <row r="353" spans="1:32" x14ac:dyDescent="0.25">
      <c r="A353" s="1" t="s">
        <v>50</v>
      </c>
      <c r="B353" s="1" t="s">
        <v>2737</v>
      </c>
      <c r="C353" s="1" t="s">
        <v>2738</v>
      </c>
      <c r="D353" s="1" t="s">
        <v>2739</v>
      </c>
      <c r="E353" s="24">
        <v>46018</v>
      </c>
      <c r="F353" s="2" t="s">
        <v>102</v>
      </c>
      <c r="G353" s="1" t="s">
        <v>35</v>
      </c>
      <c r="H353" s="1" t="s">
        <v>36</v>
      </c>
      <c r="I353" s="1" t="s">
        <v>37</v>
      </c>
      <c r="J353" s="1" t="s">
        <v>38</v>
      </c>
      <c r="K353" s="1" t="s">
        <v>55</v>
      </c>
      <c r="L353" s="1" t="s">
        <v>242</v>
      </c>
      <c r="M353" s="1" t="s">
        <v>2695</v>
      </c>
      <c r="N353" s="1" t="s">
        <v>42</v>
      </c>
      <c r="O353" s="1" t="s">
        <v>2381</v>
      </c>
      <c r="P353" s="1" t="s">
        <v>2455</v>
      </c>
      <c r="Q353" s="1" t="s">
        <v>42</v>
      </c>
      <c r="R353" s="1" t="s">
        <v>2740</v>
      </c>
      <c r="S353" s="1" t="s">
        <v>122</v>
      </c>
      <c r="T353" s="1" t="s">
        <v>46</v>
      </c>
      <c r="U353" s="1" t="s">
        <v>47</v>
      </c>
      <c r="V353" s="1" t="s">
        <v>2741</v>
      </c>
      <c r="W353" s="1" t="s">
        <v>35</v>
      </c>
      <c r="X353" s="1" t="s">
        <v>35</v>
      </c>
      <c r="Y353" s="1" t="s">
        <v>49</v>
      </c>
      <c r="Z353" s="1" t="s">
        <v>35</v>
      </c>
      <c r="AA353" s="1" t="s">
        <v>35</v>
      </c>
      <c r="AB353" s="1" t="s">
        <v>35</v>
      </c>
      <c r="AC353" s="1" t="s">
        <v>35</v>
      </c>
      <c r="AD353" s="1" t="s">
        <v>35</v>
      </c>
      <c r="AE353" s="1" t="s">
        <v>2742</v>
      </c>
      <c r="AF353" s="1" t="s">
        <v>2743</v>
      </c>
    </row>
    <row r="354" spans="1:32" x14ac:dyDescent="0.25">
      <c r="A354" s="1" t="s">
        <v>65</v>
      </c>
      <c r="B354" s="1" t="s">
        <v>1281</v>
      </c>
      <c r="C354" s="1" t="s">
        <v>1282</v>
      </c>
      <c r="D354" s="1" t="s">
        <v>2744</v>
      </c>
      <c r="E354" s="24">
        <v>46019</v>
      </c>
      <c r="F354" s="2" t="s">
        <v>103</v>
      </c>
      <c r="G354" s="1" t="s">
        <v>54</v>
      </c>
      <c r="H354" s="1" t="s">
        <v>36</v>
      </c>
      <c r="I354" s="1" t="s">
        <v>37</v>
      </c>
      <c r="J354" s="1" t="s">
        <v>38</v>
      </c>
      <c r="K354" s="1" t="s">
        <v>55</v>
      </c>
      <c r="L354" s="1" t="s">
        <v>40</v>
      </c>
      <c r="M354" s="1" t="s">
        <v>56</v>
      </c>
      <c r="N354" s="1" t="s">
        <v>42</v>
      </c>
      <c r="O354" s="1" t="s">
        <v>2381</v>
      </c>
      <c r="P354" s="1" t="s">
        <v>493</v>
      </c>
      <c r="Q354" s="1" t="s">
        <v>42</v>
      </c>
      <c r="R354" s="1" t="s">
        <v>1284</v>
      </c>
      <c r="S354" s="1" t="s">
        <v>675</v>
      </c>
      <c r="T354" s="1" t="s">
        <v>60</v>
      </c>
      <c r="U354" s="1" t="s">
        <v>145</v>
      </c>
      <c r="V354" s="1" t="s">
        <v>1285</v>
      </c>
      <c r="W354" s="1" t="s">
        <v>35</v>
      </c>
      <c r="X354" s="1" t="s">
        <v>35</v>
      </c>
      <c r="Y354" s="1" t="s">
        <v>49</v>
      </c>
      <c r="Z354" s="1" t="s">
        <v>35</v>
      </c>
      <c r="AA354" s="1" t="s">
        <v>35</v>
      </c>
      <c r="AB354" s="1" t="s">
        <v>35</v>
      </c>
      <c r="AC354" s="1" t="s">
        <v>2734</v>
      </c>
      <c r="AD354" s="1" t="s">
        <v>2745</v>
      </c>
      <c r="AE354" s="1" t="s">
        <v>2746</v>
      </c>
      <c r="AF354" s="1" t="s">
        <v>2747</v>
      </c>
    </row>
    <row r="355" spans="1:32" x14ac:dyDescent="0.25">
      <c r="A355" s="1" t="s">
        <v>50</v>
      </c>
      <c r="B355" s="1" t="s">
        <v>2748</v>
      </c>
      <c r="C355" s="1" t="s">
        <v>2749</v>
      </c>
      <c r="D355" s="1" t="s">
        <v>2750</v>
      </c>
      <c r="E355" s="24">
        <v>46019</v>
      </c>
      <c r="F355" s="2" t="s">
        <v>102</v>
      </c>
      <c r="G355" s="1" t="s">
        <v>54</v>
      </c>
      <c r="H355" s="1" t="s">
        <v>36</v>
      </c>
      <c r="I355" s="1" t="s">
        <v>37</v>
      </c>
      <c r="J355" s="1" t="s">
        <v>38</v>
      </c>
      <c r="K355" s="1" t="s">
        <v>55</v>
      </c>
      <c r="L355" s="1" t="s">
        <v>176</v>
      </c>
      <c r="M355" s="1" t="s">
        <v>458</v>
      </c>
      <c r="N355" s="1" t="s">
        <v>42</v>
      </c>
      <c r="O355" s="1" t="s">
        <v>2381</v>
      </c>
      <c r="P355" s="1" t="s">
        <v>467</v>
      </c>
      <c r="Q355" s="1" t="s">
        <v>42</v>
      </c>
      <c r="R355" s="1" t="s">
        <v>2382</v>
      </c>
      <c r="S355" s="1" t="s">
        <v>214</v>
      </c>
      <c r="T355" s="1" t="s">
        <v>60</v>
      </c>
      <c r="U355" s="1" t="s">
        <v>61</v>
      </c>
      <c r="V355" s="1" t="s">
        <v>2751</v>
      </c>
      <c r="W355" s="1" t="s">
        <v>35</v>
      </c>
      <c r="X355" s="1" t="s">
        <v>35</v>
      </c>
      <c r="Y355" s="1" t="s">
        <v>49</v>
      </c>
      <c r="Z355" s="1" t="s">
        <v>35</v>
      </c>
      <c r="AA355" s="1" t="s">
        <v>35</v>
      </c>
      <c r="AB355" s="1" t="s">
        <v>35</v>
      </c>
      <c r="AC355" s="1" t="s">
        <v>35</v>
      </c>
      <c r="AD355" s="1" t="s">
        <v>35</v>
      </c>
      <c r="AE355" s="1" t="s">
        <v>2752</v>
      </c>
      <c r="AF355" s="1" t="s">
        <v>2753</v>
      </c>
    </row>
    <row r="356" spans="1:32" x14ac:dyDescent="0.25">
      <c r="A356" s="1" t="s">
        <v>65</v>
      </c>
      <c r="B356" s="1" t="s">
        <v>866</v>
      </c>
      <c r="C356" s="1" t="s">
        <v>867</v>
      </c>
      <c r="D356" s="1" t="s">
        <v>2754</v>
      </c>
      <c r="E356" s="24">
        <v>46019</v>
      </c>
      <c r="F356" s="2" t="s">
        <v>103</v>
      </c>
      <c r="G356" s="1" t="s">
        <v>54</v>
      </c>
      <c r="H356" s="1" t="s">
        <v>36</v>
      </c>
      <c r="I356" s="1" t="s">
        <v>37</v>
      </c>
      <c r="J356" s="1" t="s">
        <v>38</v>
      </c>
      <c r="K356" s="1" t="s">
        <v>55</v>
      </c>
      <c r="L356" s="1" t="s">
        <v>40</v>
      </c>
      <c r="M356" s="1" t="s">
        <v>56</v>
      </c>
      <c r="N356" s="1" t="s">
        <v>42</v>
      </c>
      <c r="O356" s="1" t="s">
        <v>2381</v>
      </c>
      <c r="P356" s="1" t="s">
        <v>331</v>
      </c>
      <c r="Q356" s="1" t="s">
        <v>42</v>
      </c>
      <c r="R356" s="1" t="s">
        <v>870</v>
      </c>
      <c r="S356" s="1" t="s">
        <v>675</v>
      </c>
      <c r="T356" s="1" t="s">
        <v>60</v>
      </c>
      <c r="U356" s="1" t="s">
        <v>61</v>
      </c>
      <c r="V356" s="1" t="s">
        <v>871</v>
      </c>
      <c r="W356" s="1" t="s">
        <v>35</v>
      </c>
      <c r="X356" s="1" t="s">
        <v>35</v>
      </c>
      <c r="Y356" s="1" t="s">
        <v>49</v>
      </c>
      <c r="Z356" s="1" t="s">
        <v>35</v>
      </c>
      <c r="AA356" s="1" t="s">
        <v>35</v>
      </c>
      <c r="AB356" s="1" t="s">
        <v>35</v>
      </c>
      <c r="AC356" s="1" t="s">
        <v>127</v>
      </c>
      <c r="AD356" s="1" t="s">
        <v>2755</v>
      </c>
      <c r="AE356" s="1" t="s">
        <v>2756</v>
      </c>
      <c r="AF356" s="1" t="s">
        <v>2757</v>
      </c>
    </row>
    <row r="357" spans="1:32" x14ac:dyDescent="0.25">
      <c r="A357" s="1" t="s">
        <v>65</v>
      </c>
      <c r="B357" s="1" t="s">
        <v>883</v>
      </c>
      <c r="C357" s="1" t="s">
        <v>884</v>
      </c>
      <c r="D357" s="1" t="s">
        <v>2758</v>
      </c>
      <c r="E357" s="24">
        <v>46019</v>
      </c>
      <c r="F357" s="2" t="s">
        <v>103</v>
      </c>
      <c r="G357" s="1" t="s">
        <v>54</v>
      </c>
      <c r="H357" s="1" t="s">
        <v>36</v>
      </c>
      <c r="I357" s="1" t="s">
        <v>37</v>
      </c>
      <c r="J357" s="1" t="s">
        <v>38</v>
      </c>
      <c r="K357" s="1" t="s">
        <v>55</v>
      </c>
      <c r="L357" s="1" t="s">
        <v>40</v>
      </c>
      <c r="M357" s="1" t="s">
        <v>56</v>
      </c>
      <c r="N357" s="1" t="s">
        <v>42</v>
      </c>
      <c r="O357" s="1" t="s">
        <v>2381</v>
      </c>
      <c r="P357" s="1" t="s">
        <v>886</v>
      </c>
      <c r="Q357" s="1" t="s">
        <v>42</v>
      </c>
      <c r="R357" s="1" t="s">
        <v>887</v>
      </c>
      <c r="S357" s="1" t="s">
        <v>746</v>
      </c>
      <c r="T357" s="1" t="s">
        <v>60</v>
      </c>
      <c r="U357" s="1" t="s">
        <v>61</v>
      </c>
      <c r="V357" s="1" t="s">
        <v>888</v>
      </c>
      <c r="W357" s="1" t="s">
        <v>35</v>
      </c>
      <c r="X357" s="1" t="s">
        <v>35</v>
      </c>
      <c r="Y357" s="1" t="s">
        <v>49</v>
      </c>
      <c r="Z357" s="1" t="s">
        <v>35</v>
      </c>
      <c r="AA357" s="1" t="s">
        <v>35</v>
      </c>
      <c r="AB357" s="1" t="s">
        <v>35</v>
      </c>
      <c r="AC357" s="1" t="s">
        <v>2759</v>
      </c>
      <c r="AD357" s="1" t="s">
        <v>2760</v>
      </c>
      <c r="AE357" s="1" t="s">
        <v>2761</v>
      </c>
      <c r="AF357" s="1" t="s">
        <v>2762</v>
      </c>
    </row>
    <row r="358" spans="1:32" x14ac:dyDescent="0.25">
      <c r="A358" s="1" t="s">
        <v>50</v>
      </c>
      <c r="B358" s="1" t="s">
        <v>2763</v>
      </c>
      <c r="C358" s="1" t="s">
        <v>2764</v>
      </c>
      <c r="D358" s="1" t="s">
        <v>2765</v>
      </c>
      <c r="E358" s="24">
        <v>46020</v>
      </c>
      <c r="F358" s="2" t="s">
        <v>102</v>
      </c>
      <c r="G358" s="1" t="s">
        <v>54</v>
      </c>
      <c r="H358" s="1" t="s">
        <v>36</v>
      </c>
      <c r="I358" s="1" t="s">
        <v>37</v>
      </c>
      <c r="J358" s="1" t="s">
        <v>38</v>
      </c>
      <c r="K358" s="1" t="s">
        <v>55</v>
      </c>
      <c r="L358" s="1" t="s">
        <v>176</v>
      </c>
      <c r="M358" s="1" t="s">
        <v>56</v>
      </c>
      <c r="N358" s="1" t="s">
        <v>42</v>
      </c>
      <c r="O358" s="1" t="s">
        <v>2381</v>
      </c>
      <c r="P358" s="1" t="s">
        <v>2766</v>
      </c>
      <c r="Q358" s="1" t="s">
        <v>42</v>
      </c>
      <c r="R358" s="1" t="s">
        <v>384</v>
      </c>
      <c r="S358" s="1" t="s">
        <v>367</v>
      </c>
      <c r="T358" s="1" t="s">
        <v>60</v>
      </c>
      <c r="U358" s="1" t="s">
        <v>61</v>
      </c>
      <c r="V358" s="1" t="s">
        <v>2767</v>
      </c>
      <c r="W358" s="1" t="s">
        <v>35</v>
      </c>
      <c r="X358" s="1" t="s">
        <v>35</v>
      </c>
      <c r="Y358" s="1" t="s">
        <v>49</v>
      </c>
      <c r="Z358" s="1" t="s">
        <v>35</v>
      </c>
      <c r="AA358" s="1" t="s">
        <v>35</v>
      </c>
      <c r="AB358" s="1" t="s">
        <v>35</v>
      </c>
      <c r="AC358" s="1" t="s">
        <v>35</v>
      </c>
      <c r="AD358" s="1" t="s">
        <v>35</v>
      </c>
      <c r="AE358" s="1" t="s">
        <v>2768</v>
      </c>
      <c r="AF358" s="1" t="s">
        <v>2769</v>
      </c>
    </row>
    <row r="359" spans="1:32" x14ac:dyDescent="0.25">
      <c r="A359" s="1" t="s">
        <v>65</v>
      </c>
      <c r="B359" s="1" t="s">
        <v>2770</v>
      </c>
      <c r="C359" s="1" t="s">
        <v>2771</v>
      </c>
      <c r="D359" s="1" t="s">
        <v>2772</v>
      </c>
      <c r="E359" s="24">
        <v>46020</v>
      </c>
      <c r="F359" s="2" t="s">
        <v>103</v>
      </c>
      <c r="G359" s="1" t="s">
        <v>35</v>
      </c>
      <c r="H359" s="1" t="s">
        <v>36</v>
      </c>
      <c r="I359" s="1" t="s">
        <v>37</v>
      </c>
      <c r="J359" s="1" t="s">
        <v>38</v>
      </c>
      <c r="K359" s="1" t="s">
        <v>55</v>
      </c>
      <c r="L359" s="1" t="s">
        <v>176</v>
      </c>
      <c r="M359" s="1" t="s">
        <v>56</v>
      </c>
      <c r="N359" s="1" t="s">
        <v>42</v>
      </c>
      <c r="O359" s="1" t="s">
        <v>2381</v>
      </c>
      <c r="P359" s="1" t="s">
        <v>212</v>
      </c>
      <c r="Q359" s="1" t="s">
        <v>42</v>
      </c>
      <c r="R359" s="1" t="s">
        <v>2773</v>
      </c>
      <c r="S359" s="1" t="s">
        <v>45</v>
      </c>
      <c r="T359" s="1" t="s">
        <v>60</v>
      </c>
      <c r="U359" s="1" t="s">
        <v>61</v>
      </c>
      <c r="V359" s="1" t="s">
        <v>2774</v>
      </c>
      <c r="W359" s="1" t="s">
        <v>35</v>
      </c>
      <c r="X359" s="1" t="s">
        <v>35</v>
      </c>
      <c r="Y359" s="1" t="s">
        <v>49</v>
      </c>
      <c r="Z359" s="1" t="s">
        <v>35</v>
      </c>
      <c r="AA359" s="1" t="s">
        <v>35</v>
      </c>
      <c r="AB359" s="1" t="s">
        <v>35</v>
      </c>
      <c r="AC359" s="1" t="s">
        <v>2775</v>
      </c>
      <c r="AD359" s="1" t="s">
        <v>2776</v>
      </c>
      <c r="AE359" s="1" t="s">
        <v>2777</v>
      </c>
      <c r="AF359" s="1" t="s">
        <v>2778</v>
      </c>
    </row>
    <row r="360" spans="1:32" x14ac:dyDescent="0.25">
      <c r="A360" s="1" t="s">
        <v>50</v>
      </c>
      <c r="B360" s="1" t="s">
        <v>2779</v>
      </c>
      <c r="C360" s="1" t="s">
        <v>2780</v>
      </c>
      <c r="D360" s="1" t="s">
        <v>2781</v>
      </c>
      <c r="E360" s="24">
        <v>46020</v>
      </c>
      <c r="F360" s="2" t="s">
        <v>102</v>
      </c>
      <c r="G360" s="1" t="s">
        <v>54</v>
      </c>
      <c r="H360" s="1" t="s">
        <v>36</v>
      </c>
      <c r="I360" s="1" t="s">
        <v>37</v>
      </c>
      <c r="J360" s="1" t="s">
        <v>38</v>
      </c>
      <c r="K360" s="1" t="s">
        <v>55</v>
      </c>
      <c r="L360" s="1" t="s">
        <v>242</v>
      </c>
      <c r="M360" s="1" t="s">
        <v>2782</v>
      </c>
      <c r="N360" s="1" t="s">
        <v>42</v>
      </c>
      <c r="O360" s="1" t="s">
        <v>2381</v>
      </c>
      <c r="P360" s="1" t="s">
        <v>2455</v>
      </c>
      <c r="Q360" s="1" t="s">
        <v>42</v>
      </c>
      <c r="R360" s="1" t="s">
        <v>2783</v>
      </c>
      <c r="S360" s="1" t="s">
        <v>259</v>
      </c>
      <c r="T360" s="1" t="s">
        <v>46</v>
      </c>
      <c r="U360" s="1" t="s">
        <v>81</v>
      </c>
      <c r="V360" s="1" t="s">
        <v>2784</v>
      </c>
      <c r="W360" s="1" t="s">
        <v>35</v>
      </c>
      <c r="X360" s="1" t="s">
        <v>35</v>
      </c>
      <c r="Y360" s="1" t="s">
        <v>49</v>
      </c>
      <c r="Z360" s="1" t="s">
        <v>35</v>
      </c>
      <c r="AA360" s="1" t="s">
        <v>35</v>
      </c>
      <c r="AB360" s="1" t="s">
        <v>35</v>
      </c>
      <c r="AC360" s="1" t="s">
        <v>35</v>
      </c>
      <c r="AD360" s="1" t="s">
        <v>35</v>
      </c>
      <c r="AE360" s="1" t="s">
        <v>2785</v>
      </c>
      <c r="AF360" s="1" t="s">
        <v>2786</v>
      </c>
    </row>
    <row r="361" spans="1:32" x14ac:dyDescent="0.25">
      <c r="A361" s="1" t="s">
        <v>50</v>
      </c>
      <c r="B361" s="1" t="s">
        <v>2787</v>
      </c>
      <c r="C361" s="1" t="s">
        <v>2788</v>
      </c>
      <c r="D361" s="1" t="s">
        <v>2789</v>
      </c>
      <c r="E361" s="24">
        <v>46020</v>
      </c>
      <c r="F361" s="2" t="s">
        <v>103</v>
      </c>
      <c r="G361" s="1" t="s">
        <v>302</v>
      </c>
      <c r="H361" s="1" t="s">
        <v>36</v>
      </c>
      <c r="I361" s="1" t="s">
        <v>37</v>
      </c>
      <c r="J361" s="1" t="s">
        <v>38</v>
      </c>
      <c r="K361" s="1" t="s">
        <v>55</v>
      </c>
      <c r="L361" s="1" t="s">
        <v>40</v>
      </c>
      <c r="M361" s="1" t="s">
        <v>70</v>
      </c>
      <c r="N361" s="1" t="s">
        <v>42</v>
      </c>
      <c r="O361" s="1" t="s">
        <v>2381</v>
      </c>
      <c r="P361" s="1" t="s">
        <v>70</v>
      </c>
      <c r="Q361" s="1" t="s">
        <v>42</v>
      </c>
      <c r="R361" s="1" t="s">
        <v>1705</v>
      </c>
      <c r="S361" s="1" t="s">
        <v>978</v>
      </c>
      <c r="T361" s="1" t="s">
        <v>60</v>
      </c>
      <c r="U361" s="1" t="s">
        <v>61</v>
      </c>
      <c r="V361" s="1" t="s">
        <v>2790</v>
      </c>
      <c r="W361" s="1" t="s">
        <v>35</v>
      </c>
      <c r="X361" s="1" t="s">
        <v>35</v>
      </c>
      <c r="Y361" s="1" t="s">
        <v>104</v>
      </c>
      <c r="Z361" s="1" t="s">
        <v>35</v>
      </c>
      <c r="AA361" s="1" t="s">
        <v>35</v>
      </c>
      <c r="AB361" s="1" t="s">
        <v>35</v>
      </c>
      <c r="AC361" s="1" t="s">
        <v>35</v>
      </c>
      <c r="AD361" s="1" t="s">
        <v>35</v>
      </c>
      <c r="AE361" s="1" t="s">
        <v>2791</v>
      </c>
      <c r="AF361" s="1" t="s">
        <v>2792</v>
      </c>
    </row>
    <row r="362" spans="1:32" x14ac:dyDescent="0.25">
      <c r="A362" s="1" t="s">
        <v>50</v>
      </c>
      <c r="B362" s="1" t="s">
        <v>2793</v>
      </c>
      <c r="C362" s="1" t="s">
        <v>2794</v>
      </c>
      <c r="D362" s="1" t="s">
        <v>2795</v>
      </c>
      <c r="E362" s="24">
        <v>46021</v>
      </c>
      <c r="F362" s="2" t="s">
        <v>102</v>
      </c>
      <c r="G362" s="1" t="s">
        <v>35</v>
      </c>
      <c r="H362" s="1" t="s">
        <v>36</v>
      </c>
      <c r="I362" s="1" t="s">
        <v>37</v>
      </c>
      <c r="J362" s="1" t="s">
        <v>38</v>
      </c>
      <c r="K362" s="1" t="s">
        <v>55</v>
      </c>
      <c r="L362" s="1" t="s">
        <v>432</v>
      </c>
      <c r="M362" s="1" t="s">
        <v>2695</v>
      </c>
      <c r="N362" s="1" t="s">
        <v>42</v>
      </c>
      <c r="O362" s="1" t="s">
        <v>2381</v>
      </c>
      <c r="P362" s="1" t="s">
        <v>1531</v>
      </c>
      <c r="Q362" s="1" t="s">
        <v>42</v>
      </c>
      <c r="R362" s="1" t="s">
        <v>2796</v>
      </c>
      <c r="S362" s="1" t="s">
        <v>144</v>
      </c>
      <c r="T362" s="1" t="s">
        <v>46</v>
      </c>
      <c r="U362" s="1" t="s">
        <v>47</v>
      </c>
      <c r="V362" s="1" t="s">
        <v>2797</v>
      </c>
      <c r="W362" s="1" t="s">
        <v>35</v>
      </c>
      <c r="X362" s="1" t="s">
        <v>35</v>
      </c>
      <c r="Y362" s="1" t="s">
        <v>49</v>
      </c>
      <c r="Z362" s="1" t="s">
        <v>35</v>
      </c>
      <c r="AA362" s="1" t="s">
        <v>35</v>
      </c>
      <c r="AB362" s="1" t="s">
        <v>35</v>
      </c>
      <c r="AC362" s="1" t="s">
        <v>35</v>
      </c>
      <c r="AD362" s="1" t="s">
        <v>35</v>
      </c>
      <c r="AE362" s="1" t="s">
        <v>2798</v>
      </c>
      <c r="AF362" s="1" t="s">
        <v>2799</v>
      </c>
    </row>
    <row r="363" spans="1:32" x14ac:dyDescent="0.25">
      <c r="A363" s="1" t="s">
        <v>65</v>
      </c>
      <c r="B363" s="1" t="s">
        <v>2800</v>
      </c>
      <c r="C363" s="1" t="s">
        <v>2801</v>
      </c>
      <c r="D363" s="1" t="s">
        <v>2802</v>
      </c>
      <c r="E363" s="24">
        <v>46022</v>
      </c>
      <c r="F363" s="2" t="s">
        <v>102</v>
      </c>
      <c r="G363" s="1" t="s">
        <v>54</v>
      </c>
      <c r="H363" s="1" t="s">
        <v>36</v>
      </c>
      <c r="I363" s="1" t="s">
        <v>37</v>
      </c>
      <c r="J363" s="1" t="s">
        <v>38</v>
      </c>
      <c r="K363" s="1" t="s">
        <v>55</v>
      </c>
      <c r="L363" s="1" t="s">
        <v>40</v>
      </c>
      <c r="M363" s="1" t="s">
        <v>56</v>
      </c>
      <c r="N363" s="1" t="s">
        <v>42</v>
      </c>
      <c r="O363" s="1" t="s">
        <v>2381</v>
      </c>
      <c r="P363" s="1" t="s">
        <v>185</v>
      </c>
      <c r="Q363" s="1" t="s">
        <v>42</v>
      </c>
      <c r="R363" s="1" t="s">
        <v>919</v>
      </c>
      <c r="S363" s="1" t="s">
        <v>969</v>
      </c>
      <c r="T363" s="1" t="s">
        <v>60</v>
      </c>
      <c r="U363" s="1" t="s">
        <v>61</v>
      </c>
      <c r="V363" s="1" t="s">
        <v>2803</v>
      </c>
      <c r="W363" s="1" t="s">
        <v>35</v>
      </c>
      <c r="X363" s="1" t="s">
        <v>35</v>
      </c>
      <c r="Y363" s="1" t="s">
        <v>49</v>
      </c>
      <c r="Z363" s="1" t="s">
        <v>35</v>
      </c>
      <c r="AA363" s="1" t="s">
        <v>35</v>
      </c>
      <c r="AB363" s="1" t="s">
        <v>35</v>
      </c>
      <c r="AC363" s="1" t="s">
        <v>2804</v>
      </c>
      <c r="AD363" s="1" t="s">
        <v>2805</v>
      </c>
      <c r="AE363" s="1" t="s">
        <v>2806</v>
      </c>
      <c r="AF363" s="1" t="s">
        <v>2807</v>
      </c>
    </row>
  </sheetData>
  <pageMargins left="0.7" right="0.7" top="0.75" bottom="0.75" header="0.3" footer="0.3"/>
  <pageSetup paperSize="9" fitToWidth="0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4</vt:i4>
      </vt:variant>
    </vt:vector>
  </HeadingPairs>
  <TitlesOfParts>
    <vt:vector size="4" baseType="lpstr">
      <vt:lpstr>ورقة1</vt:lpstr>
      <vt:lpstr>ورقة2</vt:lpstr>
      <vt:lpstr>ورقة3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Majed</dc:creator>
  <cp:lastModifiedBy>MAGED FARHAN MUHARIB. ALHARBI</cp:lastModifiedBy>
  <cp:lastPrinted>2025-09-17T07:54:42Z</cp:lastPrinted>
  <dcterms:created xsi:type="dcterms:W3CDTF">2025-01-20T08:42:53Z</dcterms:created>
  <dcterms:modified xsi:type="dcterms:W3CDTF">2026-03-11T05:42:53Z</dcterms:modified>
</cp:coreProperties>
</file>